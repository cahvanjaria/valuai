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Historical_PL" sheetId="2" state="visible" r:id="rId2"/>
    <sheet xmlns:r="http://schemas.openxmlformats.org/officeDocument/2006/relationships" name="Historical_BS" sheetId="3" state="visible" r:id="rId3"/>
    <sheet xmlns:r="http://schemas.openxmlformats.org/officeDocument/2006/relationships" name="Projections" sheetId="4" state="visible" r:id="rId4"/>
    <sheet xmlns:r="http://schemas.openxmlformats.org/officeDocument/2006/relationships" name="WACC_Inputs" sheetId="5" state="visible" r:id="rId5"/>
    <sheet xmlns:r="http://schemas.openxmlformats.org/officeDocument/2006/relationships" name="Other_Inputs" sheetId="6" state="visible" r:id="rId6"/>
    <sheet xmlns:r="http://schemas.openxmlformats.org/officeDocument/2006/relationships" name="Comparables" sheetId="7" state="visible" r:id="rId7"/>
  </sheets>
  <definedNames/>
  <calcPr calcId="145621" fullCalcOnLoad="1"/>
</workbook>
</file>

<file path=xl/styles.xml><?xml version="1.0" encoding="utf-8"?>
<styleSheet xmlns="http://schemas.openxmlformats.org/spreadsheetml/2006/main">
  <numFmts count="3">
    <numFmt numFmtId="164" formatCode="dd/mm/yyyy;@"/>
    <numFmt numFmtId="165" formatCode="_ * #,##0.00_ ;_ * \-#,##0.00_ ;_ * &quot;-&quot;??_ ;_ @_ "/>
    <numFmt numFmtId="166" formatCode="_ * #,##0.0000_ ;_ * \-#,##0.0000_ ;_ * &quot;-&quot;??_ ;_ @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sz val="16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i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117">
    <xf numFmtId="0" fontId="0" fillId="0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2" borderId="0" applyAlignment="1" pivotButton="0" quotePrefix="0" xfId="0">
      <alignment horizontal="center"/>
    </xf>
    <xf numFmtId="0" fontId="4" fillId="3" borderId="0" pivotButton="0" quotePrefix="0" xfId="0"/>
    <xf numFmtId="0" fontId="0" fillId="6" borderId="0" pivotButton="0" quotePrefix="0" xfId="0"/>
    <xf numFmtId="0" fontId="2" fillId="3" borderId="0" pivotButton="0" quotePrefix="0" xfId="0"/>
    <xf numFmtId="0" fontId="3" fillId="7" borderId="0" pivotButton="0" quotePrefix="0" xfId="0"/>
    <xf numFmtId="0" fontId="0" fillId="2" borderId="0" applyAlignment="1" pivotButton="0" quotePrefix="0" xfId="0">
      <alignment horizontal="center" wrapText="1"/>
    </xf>
    <xf numFmtId="0" fontId="0" fillId="0" borderId="0" pivotButton="0" quotePrefix="0" xfId="0"/>
    <xf numFmtId="165" fontId="0" fillId="0" borderId="0" pivotButton="0" quotePrefix="0" xfId="1"/>
    <xf numFmtId="0" fontId="3" fillId="0" borderId="2" pivotButton="0" quotePrefix="0" xfId="0"/>
    <xf numFmtId="0" fontId="0" fillId="2" borderId="3" pivotButton="0" quotePrefix="0" xfId="0"/>
    <xf numFmtId="0" fontId="0" fillId="0" borderId="2" pivotButton="0" quotePrefix="0" xfId="0"/>
    <xf numFmtId="0" fontId="0" fillId="0" borderId="3" pivotButton="0" quotePrefix="0" xfId="0"/>
    <xf numFmtId="165" fontId="0" fillId="0" borderId="3" pivotButton="0" quotePrefix="0" xfId="1"/>
    <xf numFmtId="0" fontId="0" fillId="0" borderId="2" pivotButton="0" quotePrefix="0" xfId="0"/>
    <xf numFmtId="165" fontId="0" fillId="2" borderId="3" pivotButton="0" quotePrefix="0" xfId="1"/>
    <xf numFmtId="0" fontId="0" fillId="2" borderId="5" pivotButton="0" quotePrefix="0" xfId="0"/>
    <xf numFmtId="0" fontId="0" fillId="0" borderId="5" pivotButton="0" quotePrefix="0" xfId="0"/>
    <xf numFmtId="165" fontId="0" fillId="0" borderId="5" pivotButton="0" quotePrefix="0" xfId="1"/>
    <xf numFmtId="165" fontId="0" fillId="2" borderId="5" pivotButton="0" quotePrefix="0" xfId="1"/>
    <xf numFmtId="0" fontId="2" fillId="3" borderId="7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2" fillId="3" borderId="6" applyAlignment="1" pivotButton="0" quotePrefix="0" xfId="0">
      <alignment horizontal="left"/>
    </xf>
    <xf numFmtId="0" fontId="0" fillId="2" borderId="4" pivotButton="0" quotePrefix="0" xfId="0"/>
    <xf numFmtId="0" fontId="3" fillId="4" borderId="2" pivotButton="0" quotePrefix="0" xfId="0"/>
    <xf numFmtId="0" fontId="3" fillId="9" borderId="2" pivotButton="0" quotePrefix="0" xfId="0"/>
    <xf numFmtId="0" fontId="3" fillId="5" borderId="6" pivotButton="0" quotePrefix="0" xfId="0"/>
    <xf numFmtId="165" fontId="3" fillId="5" borderId="1" pivotButton="0" quotePrefix="0" xfId="1"/>
    <xf numFmtId="165" fontId="3" fillId="5" borderId="7" pivotButton="0" quotePrefix="0" xfId="1"/>
    <xf numFmtId="165" fontId="3" fillId="5" borderId="0" pivotButton="0" quotePrefix="0" xfId="1"/>
    <xf numFmtId="165" fontId="0" fillId="0" borderId="5" pivotButton="0" quotePrefix="0" xfId="1"/>
    <xf numFmtId="0" fontId="0" fillId="0" borderId="1" pivotButton="0" quotePrefix="0" xfId="0"/>
    <xf numFmtId="165" fontId="3" fillId="5" borderId="5" pivotButton="0" quotePrefix="0" xfId="1"/>
    <xf numFmtId="165" fontId="0" fillId="2" borderId="1" pivotButton="0" quotePrefix="0" xfId="1"/>
    <xf numFmtId="10" fontId="0" fillId="2" borderId="5" pivotButton="0" quotePrefix="0" xfId="2"/>
    <xf numFmtId="0" fontId="3" fillId="0" borderId="0" pivotButton="0" quotePrefix="0" xfId="0"/>
    <xf numFmtId="0" fontId="0" fillId="0" borderId="9" pivotButton="0" quotePrefix="0" xfId="0"/>
    <xf numFmtId="165" fontId="0" fillId="2" borderId="10" pivotButton="0" quotePrefix="0" xfId="1"/>
    <xf numFmtId="0" fontId="2" fillId="3" borderId="1" applyAlignment="1" pivotButton="0" quotePrefix="0" xfId="0">
      <alignment horizontal="left"/>
    </xf>
    <xf numFmtId="165" fontId="2" fillId="3" borderId="1" applyAlignment="1" pivotButton="0" quotePrefix="0" xfId="1">
      <alignment horizontal="center"/>
    </xf>
    <xf numFmtId="0" fontId="5" fillId="8" borderId="0" applyAlignment="1" pivotButton="0" quotePrefix="0" xfId="0">
      <alignment horizontal="center"/>
    </xf>
    <xf numFmtId="0" fontId="8" fillId="0" borderId="0" pivotButton="0" quotePrefix="0" xfId="0"/>
    <xf numFmtId="0" fontId="0" fillId="0" borderId="2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10" fontId="1" fillId="5" borderId="5" pivotButton="0" quotePrefix="0" xfId="2"/>
    <xf numFmtId="0" fontId="0" fillId="0" borderId="10" pivotButton="0" quotePrefix="0" xfId="0"/>
    <xf numFmtId="10" fontId="0" fillId="2" borderId="5" pivotButton="0" quotePrefix="0" xfId="0"/>
    <xf numFmtId="10" fontId="3" fillId="5" borderId="5" pivotButton="0" quotePrefix="0" xfId="2"/>
    <xf numFmtId="0" fontId="0" fillId="0" borderId="5" applyAlignment="1" pivotButton="0" quotePrefix="0" xfId="0">
      <alignment horizontal="center" vertical="center" wrapText="1"/>
    </xf>
    <xf numFmtId="0" fontId="0" fillId="2" borderId="5" applyAlignment="1" pivotButton="0" quotePrefix="0" xfId="0">
      <alignment vertical="center"/>
    </xf>
    <xf numFmtId="0" fontId="0" fillId="2" borderId="10" applyAlignment="1" pivotButton="0" quotePrefix="0" xfId="0">
      <alignment vertical="center"/>
    </xf>
    <xf numFmtId="0" fontId="3" fillId="4" borderId="6" pivotButton="0" quotePrefix="0" xfId="0"/>
    <xf numFmtId="0" fontId="3" fillId="4" borderId="1" pivotButton="0" quotePrefix="0" xfId="0"/>
    <xf numFmtId="0" fontId="0" fillId="0" borderId="0" pivotButton="0" quotePrefix="0" xfId="0"/>
    <xf numFmtId="0" fontId="0" fillId="2" borderId="0" pivotButton="0" quotePrefix="0" xfId="0"/>
    <xf numFmtId="0" fontId="8" fillId="0" borderId="2" pivotButton="0" quotePrefix="0" xfId="0"/>
    <xf numFmtId="0" fontId="0" fillId="0" borderId="2" applyAlignment="1" pivotButton="0" quotePrefix="0" xfId="0">
      <alignment vertical="center" wrapText="1"/>
    </xf>
    <xf numFmtId="0" fontId="0" fillId="2" borderId="0" applyAlignment="1" pivotButton="0" quotePrefix="0" xfId="0">
      <alignment horizontal="center"/>
    </xf>
    <xf numFmtId="0" fontId="3" fillId="4" borderId="7" pivotButton="0" quotePrefix="0" xfId="0"/>
    <xf numFmtId="0" fontId="0" fillId="0" borderId="4" applyAlignment="1" pivotButton="0" quotePrefix="0" xfId="0">
      <alignment horizontal="center"/>
    </xf>
    <xf numFmtId="9" fontId="0" fillId="2" borderId="5" applyAlignment="1" pivotButton="0" quotePrefix="0" xfId="2">
      <alignment horizontal="center"/>
    </xf>
    <xf numFmtId="0" fontId="0" fillId="0" borderId="5" applyAlignment="1" pivotButton="0" quotePrefix="0" xfId="0">
      <alignment vertical="center" wrapText="1"/>
    </xf>
    <xf numFmtId="0" fontId="0" fillId="2" borderId="5" applyAlignment="1" pivotButton="0" quotePrefix="0" xfId="0">
      <alignment horizontal="center"/>
    </xf>
    <xf numFmtId="10" fontId="3" fillId="5" borderId="5" applyAlignment="1" pivotButton="0" quotePrefix="0" xfId="2">
      <alignment horizontal="center"/>
    </xf>
    <xf numFmtId="10" fontId="1" fillId="5" borderId="5" applyAlignment="1" pivotButton="0" quotePrefix="0" xfId="2">
      <alignment horizontal="center"/>
    </xf>
    <xf numFmtId="165" fontId="1" fillId="5" borderId="5" applyAlignment="1" pivotButton="0" quotePrefix="0" xfId="1">
      <alignment horizontal="center"/>
    </xf>
    <xf numFmtId="165" fontId="1" fillId="5" borderId="10" applyAlignment="1" pivotButton="0" quotePrefix="0" xfId="1">
      <alignment horizontal="center"/>
    </xf>
    <xf numFmtId="0" fontId="0" fillId="0" borderId="5" applyAlignment="1" pivotButton="0" quotePrefix="0" xfId="0">
      <alignment horizontal="center"/>
    </xf>
    <xf numFmtId="0" fontId="3" fillId="4" borderId="8" pivotButton="0" quotePrefix="0" xfId="0"/>
    <xf numFmtId="0" fontId="0" fillId="0" borderId="0" applyAlignment="1" pivotButton="0" quotePrefix="0" xfId="0">
      <alignment vertical="center"/>
    </xf>
    <xf numFmtId="166" fontId="3" fillId="0" borderId="0" pivotButton="0" quotePrefix="0" xfId="1"/>
    <xf numFmtId="0" fontId="5" fillId="8" borderId="11" applyAlignment="1" pivotButton="0" quotePrefix="0" xfId="0">
      <alignment horizontal="center"/>
    </xf>
    <xf numFmtId="0" fontId="5" fillId="8" borderId="15" applyAlignment="1" pivotButton="0" quotePrefix="0" xfId="0">
      <alignment horizontal="center"/>
    </xf>
    <xf numFmtId="0" fontId="5" fillId="8" borderId="12" applyAlignment="1" pivotButton="0" quotePrefix="0" xfId="0">
      <alignment horizontal="center"/>
    </xf>
    <xf numFmtId="0" fontId="3" fillId="0" borderId="8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6" fontId="3" fillId="0" borderId="1" pivotButton="0" quotePrefix="0" xfId="1"/>
    <xf numFmtId="165" fontId="1" fillId="5" borderId="1" applyAlignment="1" pivotButton="0" quotePrefix="0" xfId="1">
      <alignment horizontal="center"/>
    </xf>
    <xf numFmtId="166" fontId="3" fillId="0" borderId="6" applyAlignment="1" pivotButton="0" quotePrefix="0" xfId="1">
      <alignment horizontal="center"/>
    </xf>
    <xf numFmtId="166" fontId="3" fillId="0" borderId="8" applyAlignment="1" pivotButton="0" quotePrefix="0" xfId="1">
      <alignment horizontal="center"/>
    </xf>
    <xf numFmtId="166" fontId="3" fillId="0" borderId="7" applyAlignment="1" pivotButton="0" quotePrefix="0" xfId="1">
      <alignment horizontal="center"/>
    </xf>
    <xf numFmtId="165" fontId="3" fillId="5" borderId="0" pivotButton="0" quotePrefix="0" xfId="1"/>
    <xf numFmtId="165" fontId="0" fillId="0" borderId="5" pivotButton="0" quotePrefix="0" xfId="1"/>
    <xf numFmtId="165" fontId="0" fillId="0" borderId="3" pivotButton="0" quotePrefix="0" xfId="1"/>
    <xf numFmtId="165" fontId="0" fillId="0" borderId="0" pivotButton="0" quotePrefix="0" xfId="1"/>
    <xf numFmtId="165" fontId="0" fillId="2" borderId="5" pivotButton="0" quotePrefix="0" xfId="1"/>
    <xf numFmtId="165" fontId="0" fillId="2" borderId="3" pivotButton="0" quotePrefix="0" xfId="1"/>
    <xf numFmtId="165" fontId="3" fillId="5" borderId="1" pivotButton="0" quotePrefix="0" xfId="1"/>
    <xf numFmtId="165" fontId="3" fillId="5" borderId="7" pivotButton="0" quotePrefix="0" xfId="1"/>
    <xf numFmtId="165" fontId="2" fillId="3" borderId="1" applyAlignment="1" pivotButton="0" quotePrefix="0" xfId="1">
      <alignment horizontal="center"/>
    </xf>
    <xf numFmtId="165" fontId="0" fillId="2" borderId="1" pivotButton="0" quotePrefix="0" xfId="1"/>
    <xf numFmtId="2" fontId="0" fillId="2" borderId="5" pivotButton="0" quotePrefix="0" xfId="2"/>
    <xf numFmtId="165" fontId="3" fillId="5" borderId="5" pivotButton="0" quotePrefix="0" xfId="1"/>
    <xf numFmtId="2" fontId="0" fillId="2" borderId="5" pivotButton="0" quotePrefix="0" xfId="1"/>
    <xf numFmtId="4" fontId="3" fillId="5" borderId="5" pivotButton="0" quotePrefix="0" xfId="1"/>
    <xf numFmtId="165" fontId="0" fillId="2" borderId="10" pivotButton="0" quotePrefix="0" xfId="1"/>
    <xf numFmtId="2" fontId="0" fillId="2" borderId="5" pivotButton="0" quotePrefix="0" xfId="0"/>
    <xf numFmtId="2" fontId="1" fillId="5" borderId="5" pivotButton="0" quotePrefix="0" xfId="2"/>
    <xf numFmtId="2" fontId="0" fillId="0" borderId="5" pivotButton="0" quotePrefix="0" xfId="0"/>
    <xf numFmtId="2" fontId="3" fillId="5" borderId="5" pivotButton="0" quotePrefix="0" xfId="2"/>
    <xf numFmtId="2" fontId="0" fillId="2" borderId="5" applyAlignment="1" pivotButton="0" quotePrefix="0" xfId="2">
      <alignment horizontal="center"/>
    </xf>
    <xf numFmtId="2" fontId="3" fillId="5" borderId="5" applyAlignment="1" pivotButton="0" quotePrefix="0" xfId="2">
      <alignment horizontal="center"/>
    </xf>
    <xf numFmtId="165" fontId="1" fillId="5" borderId="5" applyAlignment="1" pivotButton="0" quotePrefix="0" xfId="1">
      <alignment horizontal="center"/>
    </xf>
    <xf numFmtId="165" fontId="1" fillId="5" borderId="10" applyAlignment="1" pivotButton="0" quotePrefix="0" xfId="1">
      <alignment horizontal="center"/>
    </xf>
    <xf numFmtId="0" fontId="5" fillId="8" borderId="4" applyAlignment="1" pivotButton="0" quotePrefix="0" xfId="0">
      <alignment horizontal="center"/>
    </xf>
    <xf numFmtId="0" fontId="0" fillId="0" borderId="15" pivotButton="0" quotePrefix="0" xfId="0"/>
    <xf numFmtId="0" fontId="0" fillId="0" borderId="12" pivotButton="0" quotePrefix="0" xfId="0"/>
    <xf numFmtId="166" fontId="3" fillId="0" borderId="0" pivotButton="0" quotePrefix="0" xfId="1"/>
    <xf numFmtId="166" fontId="3" fillId="0" borderId="1" applyAlignment="1" pivotButton="0" quotePrefix="0" xfId="1">
      <alignment horizontal="center"/>
    </xf>
    <xf numFmtId="0" fontId="0" fillId="0" borderId="8" pivotButton="0" quotePrefix="0" xfId="0"/>
    <xf numFmtId="0" fontId="0" fillId="0" borderId="7" pivotButton="0" quotePrefix="0" xfId="0"/>
    <xf numFmtId="165" fontId="1" fillId="5" borderId="1" applyAlignment="1" pivotButton="0" quotePrefix="0" xfId="1">
      <alignment horizontal="center"/>
    </xf>
    <xf numFmtId="166" fontId="3" fillId="0" borderId="1" pivotButton="0" quotePrefix="0" xfId="1"/>
  </cellXfs>
  <cellStyles count="3">
    <cellStyle name="Normal" xfId="0" builtinId="0"/>
    <cellStyle name="Comma" xfId="1" builtinId="3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9" authorId="0" shapeId="0">
      <text>
        <t>Author:
Include redeemable preference shares, compulsorily convertible debentures, and other quasi-debt instruments in this schedule. Treat their redemption as Principal Repayment.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1"/>
  <sheetViews>
    <sheetView showGridLines="0" tabSelected="1" zoomScaleNormal="100" workbookViewId="0">
      <selection activeCell="A1" sqref="A1:B1"/>
    </sheetView>
  </sheetViews>
  <sheetFormatPr baseColWidth="8" defaultRowHeight="15"/>
  <cols>
    <col width="47.5703125" customWidth="1" style="57" min="1" max="1"/>
    <col width="43" customWidth="1" style="3" min="2" max="2"/>
  </cols>
  <sheetData>
    <row r="1" ht="21" customHeight="1" s="57">
      <c r="A1" s="43" t="inlineStr">
        <is>
          <t>VALUAI - VALUATION INPUT TEMPLATE</t>
        </is>
      </c>
    </row>
    <row r="3">
      <c r="A3" s="7" t="inlineStr">
        <is>
          <t>IBBI Valuer Details</t>
        </is>
      </c>
    </row>
    <row r="4">
      <c r="A4" t="inlineStr">
        <is>
          <t>Valuer Name</t>
        </is>
      </c>
      <c r="B4" s="61" t="inlineStr">
        <is>
          <t>Harshal Vibhakar Anjaria</t>
        </is>
      </c>
    </row>
    <row r="5">
      <c r="A5" t="inlineStr">
        <is>
          <t>IBBI Registration No.</t>
        </is>
      </c>
      <c r="B5" s="61" t="inlineStr">
        <is>
          <t>IBBI/RV/03/2026/16120</t>
        </is>
      </c>
    </row>
    <row r="6">
      <c r="A6" t="inlineStr">
        <is>
          <t>Asset Class</t>
        </is>
      </c>
      <c r="B6" s="61" t="inlineStr">
        <is>
          <t>Securities or Financial Assets</t>
        </is>
      </c>
    </row>
    <row r="7" ht="45.75" customHeight="1" s="57">
      <c r="A7" t="inlineStr">
        <is>
          <t>Valuer Address</t>
        </is>
      </c>
      <c r="B7" s="9" t="inlineStr">
        <is>
          <t>A-23, Sharnam-9, Bh Satyam Status, Jodhpur Gam Road, Ramdevnagar, Ahmedabad- 380054</t>
        </is>
      </c>
    </row>
    <row r="9">
      <c r="A9" s="7" t="inlineStr">
        <is>
          <t>Engagement Details</t>
        </is>
      </c>
    </row>
    <row r="10">
      <c r="A10" t="inlineStr">
        <is>
          <t>Client Company Name</t>
        </is>
      </c>
      <c r="B10" s="61" t="n"/>
    </row>
    <row r="11">
      <c r="A11" t="inlineStr">
        <is>
          <t>Client CIN</t>
        </is>
      </c>
      <c r="B11" s="61" t="n"/>
    </row>
    <row r="12">
      <c r="A12" t="inlineStr">
        <is>
          <t>Client Registered Address</t>
        </is>
      </c>
      <c r="B12" s="61" t="n"/>
    </row>
    <row r="13">
      <c r="A13" t="inlineStr">
        <is>
          <t>Date of Appointment</t>
        </is>
      </c>
      <c r="B13" s="4" t="n"/>
    </row>
    <row r="14">
      <c r="A14" t="inlineStr">
        <is>
          <t>Valuation Date</t>
        </is>
      </c>
      <c r="B14" s="4" t="n"/>
    </row>
    <row r="15">
      <c r="A15" t="inlineStr">
        <is>
          <t>Date of Report</t>
        </is>
      </c>
      <c r="B15" s="4" t="n"/>
    </row>
    <row r="16">
      <c r="A16" t="inlineStr">
        <is>
          <t>Purpose of Valuation</t>
        </is>
      </c>
      <c r="B16" s="61" t="n"/>
    </row>
    <row r="17">
      <c r="A17" t="inlineStr">
        <is>
          <t>Statutory Reference</t>
        </is>
      </c>
      <c r="B17" s="61" t="n"/>
    </row>
    <row r="19">
      <c r="A19" s="7" t="inlineStr">
        <is>
          <t>Valuation Standards Applied</t>
        </is>
      </c>
    </row>
    <row r="20">
      <c r="A20" t="inlineStr">
        <is>
          <t>Base of Value</t>
        </is>
      </c>
      <c r="B20" s="61" t="inlineStr">
        <is>
          <t>Fair Value</t>
        </is>
      </c>
    </row>
    <row r="21">
      <c r="A21" t="inlineStr">
        <is>
          <t>Premise of Value</t>
        </is>
      </c>
      <c r="B21" s="61" t="inlineStr">
        <is>
          <t>Going Concern</t>
        </is>
      </c>
    </row>
    <row r="22">
      <c r="A22" t="inlineStr">
        <is>
          <t>Valuation Standard Reference</t>
        </is>
      </c>
      <c r="B22" s="61" t="inlineStr">
        <is>
          <t>ICAI VS / IBBI VS / IVS 105</t>
        </is>
      </c>
    </row>
    <row r="24">
      <c r="A24" s="7" t="inlineStr">
        <is>
          <t>Currency and Units</t>
        </is>
      </c>
    </row>
    <row r="25">
      <c r="A25" t="inlineStr">
        <is>
          <t>Reporting Currency</t>
        </is>
      </c>
      <c r="B25" s="61" t="inlineStr">
        <is>
          <t>INR</t>
        </is>
      </c>
    </row>
    <row r="26">
      <c r="A26" t="inlineStr">
        <is>
          <t>Units</t>
        </is>
      </c>
      <c r="B26" s="61" t="inlineStr">
        <is>
          <t>Millions</t>
        </is>
      </c>
    </row>
    <row r="28">
      <c r="A28" s="7" t="inlineStr">
        <is>
          <t>Period Configuration</t>
        </is>
      </c>
    </row>
    <row r="29">
      <c r="A29" t="inlineStr">
        <is>
          <t>Number of Historical Years (2 to 5)</t>
        </is>
      </c>
      <c r="B29" s="61" t="n">
        <v>3</v>
      </c>
    </row>
    <row r="30">
      <c r="A30" t="inlineStr">
        <is>
          <t>Number of Forecast Years (5 to 10)</t>
        </is>
      </c>
      <c r="B30" s="61" t="n">
        <v>5</v>
      </c>
    </row>
    <row r="31">
      <c r="A31" t="inlineStr">
        <is>
          <t>Stub Period Required? (Yes/No)</t>
        </is>
      </c>
      <c r="B31" s="61" t="inlineStr">
        <is>
          <t>No</t>
        </is>
      </c>
    </row>
    <row r="32">
      <c r="A32" t="inlineStr">
        <is>
          <t>If Yes, Stub Period Months</t>
        </is>
      </c>
      <c r="B32" s="61" t="n">
        <v>0</v>
      </c>
    </row>
    <row r="34">
      <c r="A34" s="7" t="inlineStr">
        <is>
          <t>Methodology Toggles</t>
        </is>
      </c>
    </row>
    <row r="35">
      <c r="A35" t="inlineStr">
        <is>
          <t>Discounting Convention</t>
        </is>
      </c>
      <c r="B35" s="61" t="inlineStr">
        <is>
          <t>Mid-Year</t>
        </is>
      </c>
    </row>
    <row r="36">
      <c r="A36" t="inlineStr">
        <is>
          <t>WACC Input Mode</t>
        </is>
      </c>
      <c r="B36" s="61" t="inlineStr">
        <is>
          <t>CAPM Build-up</t>
        </is>
      </c>
    </row>
    <row r="37">
      <c r="A37" t="inlineStr">
        <is>
          <t>Terminal Value Method</t>
        </is>
      </c>
      <c r="B37" s="61" t="inlineStr">
        <is>
          <t>Gordon Growth</t>
        </is>
      </c>
    </row>
    <row r="39">
      <c r="A39" s="7" t="inlineStr">
        <is>
          <t>Valuation Use Case</t>
        </is>
      </c>
    </row>
    <row r="40">
      <c r="A40" t="inlineStr">
        <is>
          <t>Use Case Type</t>
        </is>
      </c>
      <c r="B40" s="3" t="inlineStr">
        <is>
          <t>Standalone Valuation</t>
        </is>
      </c>
    </row>
    <row r="41">
      <c r="A41" t="inlineStr">
        <is>
          <t>Investment Amount Being Raised (in template units)</t>
        </is>
      </c>
      <c r="B41" s="61" t="n"/>
    </row>
    <row r="42">
      <c r="A42" t="inlineStr">
        <is>
          <t>Pre-Investment Shares Outstanding (in millions)</t>
        </is>
      </c>
      <c r="B42" s="61" t="n"/>
    </row>
    <row r="43">
      <c r="A43" t="inlineStr">
        <is>
          <t>New Shares to be Issued (in millions)</t>
        </is>
      </c>
      <c r="B43" s="61" t="n"/>
    </row>
    <row r="44">
      <c r="A44" t="inlineStr">
        <is>
          <t>Post-Investment Shares Outstanding (in millions)</t>
        </is>
      </c>
      <c r="B44" s="85">
        <f>SUM(B42:B43)</f>
        <v/>
      </c>
    </row>
    <row r="45">
      <c r="A45" t="inlineStr">
        <is>
          <t>Discount Rate Method for DCF</t>
        </is>
      </c>
      <c r="B45" s="3" t="inlineStr">
        <is>
          <t>Run both with reconciliation</t>
        </is>
      </c>
    </row>
    <row r="46">
      <c r="A46" t="inlineStr">
        <is>
          <t>Reconciliation Tolerance (%)</t>
        </is>
      </c>
      <c r="B46" s="61" t="n">
        <v>2</v>
      </c>
    </row>
    <row r="48">
      <c r="A48" s="8" t="inlineStr">
        <is>
          <t>LEGEND</t>
        </is>
      </c>
    </row>
    <row r="49">
      <c r="A49" s="58" t="inlineStr">
        <is>
          <t>Yellow = User Input Required</t>
        </is>
      </c>
    </row>
    <row r="50">
      <c r="A50" s="6" t="inlineStr">
        <is>
          <t>Light Grey = Computed / Reference</t>
        </is>
      </c>
    </row>
    <row r="51">
      <c r="A51" s="5" t="inlineStr">
        <is>
          <t>Blue = Section Header</t>
        </is>
      </c>
    </row>
  </sheetData>
  <mergeCells count="1">
    <mergeCell ref="A1:B1"/>
  </mergeCells>
  <dataValidations count="7">
    <dataValidation sqref="B26" showDropDown="0" showInputMessage="1" showErrorMessage="1" allowBlank="1" type="list">
      <formula1>"Lakhs, Millions, Crores"</formula1>
    </dataValidation>
    <dataValidation sqref="B31" showDropDown="0" showInputMessage="1" showErrorMessage="1" allowBlank="1" type="list">
      <formula1>"Yes,No"</formula1>
    </dataValidation>
    <dataValidation sqref="B35" showDropDown="0" showInputMessage="1" showErrorMessage="1" allowBlank="1" type="list">
      <formula1>"Mid-Year, Year-End"</formula1>
    </dataValidation>
    <dataValidation sqref="B36" showDropDown="0" showInputMessage="1" showErrorMessage="1" allowBlank="1" type="list">
      <formula1>"CAPM Build-up, Direct Ke"</formula1>
    </dataValidation>
    <dataValidation sqref="B37" showDropDown="0" showInputMessage="1" showErrorMessage="1" allowBlank="1" type="list">
      <formula1>"Gordon Growth, Exit Multiple"</formula1>
    </dataValidation>
    <dataValidation sqref="B40" showDropDown="0" showInputMessage="1" showErrorMessage="1" allowBlank="1" type="list">
      <formula1>"Standalone Valuation,  Pre-money , Post-money"</formula1>
    </dataValidation>
    <dataValidation sqref="B45" showDropDown="0" showInputMessage="1" showErrorMessage="1" allowBlank="1" type="list">
      <formula1>"FCFF discounted at WACC, FCFE discounted at Ke, Run both with reconciliation"</formula1>
    </dataValidation>
  </dataValidation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8"/>
  <sheetViews>
    <sheetView showGridLines="0" workbookViewId="0">
      <selection activeCell="A1" sqref="A1:F1"/>
    </sheetView>
  </sheetViews>
  <sheetFormatPr baseColWidth="8" defaultRowHeight="15"/>
  <cols>
    <col width="36.28515625" customWidth="1" style="57" min="1" max="1"/>
    <col width="13" customWidth="1" style="57" min="2" max="6"/>
  </cols>
  <sheetData>
    <row r="1" ht="21" customHeight="1" s="57">
      <c r="A1" s="43" t="inlineStr">
        <is>
          <t>HISTORICAL PROFIT &amp; LOSS STATEMENT</t>
        </is>
      </c>
    </row>
    <row r="3">
      <c r="A3" s="25" t="inlineStr">
        <is>
          <t>Particulars</t>
        </is>
      </c>
      <c r="B3" s="24" t="inlineStr">
        <is>
          <t>FY-4</t>
        </is>
      </c>
      <c r="C3" s="24" t="inlineStr">
        <is>
          <t>FY-3</t>
        </is>
      </c>
      <c r="D3" s="24" t="inlineStr">
        <is>
          <t>FY-2</t>
        </is>
      </c>
      <c r="E3" s="24" t="inlineStr">
        <is>
          <t>FY-1</t>
        </is>
      </c>
      <c r="F3" s="23" t="inlineStr">
        <is>
          <t>FY-0 (Latest)</t>
        </is>
      </c>
    </row>
    <row r="4">
      <c r="A4" s="12" t="inlineStr">
        <is>
          <t>Year Ending Date</t>
        </is>
      </c>
      <c r="B4" s="19" t="n"/>
      <c r="C4" s="19" t="n"/>
      <c r="D4" s="19" t="n"/>
      <c r="E4" s="19" t="n"/>
      <c r="F4" s="13" t="n"/>
    </row>
    <row r="5">
      <c r="A5" s="17" t="n"/>
      <c r="B5" s="20" t="n"/>
      <c r="C5" s="20" t="n"/>
      <c r="D5" s="20" t="n"/>
      <c r="E5" s="20" t="n"/>
      <c r="F5" s="15" t="n"/>
    </row>
    <row r="6">
      <c r="A6" s="27" t="inlineStr">
        <is>
          <t>REVENUE</t>
        </is>
      </c>
      <c r="B6" s="86" t="n"/>
      <c r="C6" s="86" t="n"/>
      <c r="D6" s="86" t="n"/>
      <c r="E6" s="86" t="n"/>
      <c r="F6" s="87" t="n"/>
      <c r="G6" s="88" t="n"/>
    </row>
    <row r="7">
      <c r="A7" s="17" t="inlineStr">
        <is>
          <t>Revenue from Operations</t>
        </is>
      </c>
      <c r="B7" s="89" t="n"/>
      <c r="C7" s="89" t="n"/>
      <c r="D7" s="89" t="n"/>
      <c r="E7" s="89" t="n"/>
      <c r="F7" s="90" t="n"/>
      <c r="G7" s="88" t="n"/>
    </row>
    <row r="8">
      <c r="A8" s="17" t="inlineStr">
        <is>
          <t>Other Income</t>
        </is>
      </c>
      <c r="B8" s="89" t="n"/>
      <c r="C8" s="89" t="n"/>
      <c r="D8" s="89" t="n"/>
      <c r="E8" s="89" t="n"/>
      <c r="F8" s="90" t="n"/>
      <c r="G8" s="88" t="n"/>
    </row>
    <row r="9">
      <c r="A9" s="29" t="inlineStr">
        <is>
          <t>Total Revenue</t>
        </is>
      </c>
      <c r="B9" s="91">
        <f>SUM(B7:B8)</f>
        <v/>
      </c>
      <c r="C9" s="91">
        <f>SUM(C7:C8)</f>
        <v/>
      </c>
      <c r="D9" s="91">
        <f>SUM(D7:D8)</f>
        <v/>
      </c>
      <c r="E9" s="91">
        <f>SUM(E7:E8)</f>
        <v/>
      </c>
      <c r="F9" s="92">
        <f>SUM(F7:F8)</f>
        <v/>
      </c>
      <c r="G9" s="88" t="n"/>
    </row>
    <row r="10">
      <c r="A10" s="17" t="n"/>
      <c r="B10" s="86" t="n"/>
      <c r="C10" s="86" t="n"/>
      <c r="D10" s="86" t="n"/>
      <c r="E10" s="86" t="n"/>
      <c r="F10" s="87" t="n"/>
      <c r="G10" s="88" t="n"/>
    </row>
    <row r="11">
      <c r="A11" s="27" t="inlineStr">
        <is>
          <t>COSTS AND EXPENSES</t>
        </is>
      </c>
      <c r="B11" s="86" t="n"/>
      <c r="C11" s="86" t="n"/>
      <c r="D11" s="86" t="n"/>
      <c r="E11" s="86" t="n"/>
      <c r="F11" s="87" t="n"/>
      <c r="G11" s="88" t="n"/>
    </row>
    <row r="12">
      <c r="A12" s="17" t="inlineStr">
        <is>
          <t>Cost of Goods Sold / Variable Cost</t>
        </is>
      </c>
      <c r="B12" s="89" t="n"/>
      <c r="C12" s="89" t="n"/>
      <c r="D12" s="89" t="n"/>
      <c r="E12" s="89" t="n"/>
      <c r="F12" s="90" t="n"/>
      <c r="G12" s="88" t="n"/>
    </row>
    <row r="13">
      <c r="A13" s="17" t="inlineStr">
        <is>
          <t>Employee Benefits Expense</t>
        </is>
      </c>
      <c r="B13" s="89" t="n"/>
      <c r="C13" s="89" t="n"/>
      <c r="D13" s="89" t="n"/>
      <c r="E13" s="89" t="n"/>
      <c r="F13" s="90" t="n"/>
      <c r="G13" s="88" t="n"/>
    </row>
    <row r="14">
      <c r="A14" s="17" t="inlineStr">
        <is>
          <t>Other Operating Expenses</t>
        </is>
      </c>
      <c r="B14" s="89" t="n"/>
      <c r="C14" s="89" t="n"/>
      <c r="D14" s="89" t="n"/>
      <c r="E14" s="89" t="n"/>
      <c r="F14" s="90" t="n"/>
      <c r="G14" s="88" t="n"/>
    </row>
    <row r="15">
      <c r="A15" s="29" t="inlineStr">
        <is>
          <t>Total Operating Costs</t>
        </is>
      </c>
      <c r="B15" s="91">
        <f>SUM(B12:B14)</f>
        <v/>
      </c>
      <c r="C15" s="91">
        <f>SUM(C12:C14)</f>
        <v/>
      </c>
      <c r="D15" s="91">
        <f>SUM(D12:D14)</f>
        <v/>
      </c>
      <c r="E15" s="91">
        <f>SUM(E12:E14)</f>
        <v/>
      </c>
      <c r="F15" s="92">
        <f>SUM(F12:F14)</f>
        <v/>
      </c>
      <c r="G15" s="88" t="n"/>
    </row>
    <row r="16">
      <c r="A16" s="17" t="n"/>
      <c r="B16" s="86" t="n"/>
      <c r="C16" s="86" t="n"/>
      <c r="D16" s="86" t="n"/>
      <c r="E16" s="86" t="n"/>
      <c r="F16" s="87" t="n"/>
      <c r="G16" s="88" t="n"/>
    </row>
    <row r="17">
      <c r="A17" s="29" t="inlineStr">
        <is>
          <t>EBITDA</t>
        </is>
      </c>
      <c r="B17" s="91">
        <f>B9-B15</f>
        <v/>
      </c>
      <c r="C17" s="91">
        <f>C9-C15</f>
        <v/>
      </c>
      <c r="D17" s="91">
        <f>D9-D15</f>
        <v/>
      </c>
      <c r="E17" s="91">
        <f>E9-E15</f>
        <v/>
      </c>
      <c r="F17" s="92">
        <f>F9-F15</f>
        <v/>
      </c>
      <c r="G17" s="88" t="n"/>
    </row>
    <row r="18">
      <c r="A18" s="17" t="inlineStr">
        <is>
          <t>Depreciation and Amortisation</t>
        </is>
      </c>
      <c r="B18" s="89" t="n"/>
      <c r="C18" s="89" t="n"/>
      <c r="D18" s="89" t="n"/>
      <c r="E18" s="89" t="n"/>
      <c r="F18" s="90" t="n"/>
      <c r="G18" s="88" t="n"/>
    </row>
    <row r="19">
      <c r="A19" s="29" t="inlineStr">
        <is>
          <t>EBIT</t>
        </is>
      </c>
      <c r="B19" s="91">
        <f>B17-B18</f>
        <v/>
      </c>
      <c r="C19" s="91">
        <f>C17-C18</f>
        <v/>
      </c>
      <c r="D19" s="91">
        <f>D17-D18</f>
        <v/>
      </c>
      <c r="E19" s="91">
        <f>E17-E18</f>
        <v/>
      </c>
      <c r="F19" s="92">
        <f>F17-F18</f>
        <v/>
      </c>
      <c r="G19" s="88" t="n"/>
    </row>
    <row r="20">
      <c r="A20" s="17" t="inlineStr">
        <is>
          <t>Finance Cost / Interest Expense</t>
        </is>
      </c>
      <c r="B20" s="89" t="n"/>
      <c r="C20" s="89" t="n"/>
      <c r="D20" s="89" t="n"/>
      <c r="E20" s="89" t="n"/>
      <c r="F20" s="90" t="n"/>
      <c r="G20" s="88" t="n"/>
    </row>
    <row r="21">
      <c r="A21" s="29" t="inlineStr">
        <is>
          <t>Profit Before Tax (PBT)</t>
        </is>
      </c>
      <c r="B21" s="91">
        <f>B19-B20</f>
        <v/>
      </c>
      <c r="C21" s="91">
        <f>C19-C20</f>
        <v/>
      </c>
      <c r="D21" s="91">
        <f>D19-D20</f>
        <v/>
      </c>
      <c r="E21" s="91">
        <f>E19-E20</f>
        <v/>
      </c>
      <c r="F21" s="92">
        <f>F19-F20</f>
        <v/>
      </c>
      <c r="G21" s="88" t="n"/>
    </row>
    <row r="22">
      <c r="A22" s="17" t="inlineStr">
        <is>
          <t>Tax Expense</t>
        </is>
      </c>
      <c r="B22" s="89" t="n"/>
      <c r="C22" s="89" t="n"/>
      <c r="D22" s="89" t="n"/>
      <c r="E22" s="89" t="n"/>
      <c r="F22" s="90" t="n"/>
      <c r="G22" s="88" t="n"/>
    </row>
    <row r="23">
      <c r="A23" s="29" t="inlineStr">
        <is>
          <t>Profit After Tax (PAT)</t>
        </is>
      </c>
      <c r="B23" s="91">
        <f>B21-B22</f>
        <v/>
      </c>
      <c r="C23" s="91">
        <f>C21-C22</f>
        <v/>
      </c>
      <c r="D23" s="91">
        <f>D21-D22</f>
        <v/>
      </c>
      <c r="E23" s="91">
        <f>E21-E22</f>
        <v/>
      </c>
      <c r="F23" s="92">
        <f>F21-F22</f>
        <v/>
      </c>
      <c r="G23" s="88" t="n"/>
    </row>
    <row r="24">
      <c r="B24" s="88" t="n"/>
      <c r="C24" s="88" t="n"/>
      <c r="D24" s="88" t="n"/>
      <c r="E24" s="88" t="n"/>
      <c r="F24" s="88" t="n"/>
      <c r="G24" s="88" t="n"/>
    </row>
    <row r="25">
      <c r="B25" s="88" t="n"/>
      <c r="C25" s="88" t="n"/>
      <c r="D25" s="88" t="n"/>
      <c r="E25" s="88" t="n"/>
      <c r="F25" s="88" t="n"/>
      <c r="G25" s="88" t="n"/>
    </row>
    <row r="26">
      <c r="B26" s="88" t="n"/>
      <c r="C26" s="88" t="n"/>
      <c r="D26" s="88" t="n"/>
      <c r="E26" s="88" t="n"/>
      <c r="F26" s="88" t="n"/>
      <c r="G26" s="88" t="n"/>
    </row>
    <row r="27">
      <c r="B27" s="88" t="n"/>
      <c r="C27" s="88" t="n"/>
      <c r="D27" s="88" t="n"/>
      <c r="E27" s="88" t="n"/>
      <c r="F27" s="88" t="n"/>
      <c r="G27" s="88" t="n"/>
    </row>
    <row r="28">
      <c r="B28" s="88" t="n"/>
      <c r="C28" s="88" t="n"/>
      <c r="D28" s="88" t="n"/>
      <c r="E28" s="88" t="n"/>
      <c r="F28" s="88" t="n"/>
      <c r="G28" s="88" t="n"/>
    </row>
    <row r="29">
      <c r="B29" s="88" t="n"/>
      <c r="C29" s="88" t="n"/>
      <c r="D29" s="88" t="n"/>
      <c r="E29" s="88" t="n"/>
      <c r="F29" s="88" t="n"/>
      <c r="G29" s="88" t="n"/>
    </row>
    <row r="30">
      <c r="B30" s="88" t="n"/>
      <c r="C30" s="88" t="n"/>
      <c r="D30" s="88" t="n"/>
      <c r="E30" s="88" t="n"/>
      <c r="F30" s="88" t="n"/>
      <c r="G30" s="88" t="n"/>
    </row>
    <row r="31">
      <c r="B31" s="88" t="n"/>
      <c r="C31" s="88" t="n"/>
      <c r="D31" s="88" t="n"/>
      <c r="E31" s="88" t="n"/>
      <c r="F31" s="88" t="n"/>
      <c r="G31" s="88" t="n"/>
    </row>
    <row r="32">
      <c r="B32" s="88" t="n"/>
      <c r="C32" s="88" t="n"/>
      <c r="D32" s="88" t="n"/>
      <c r="E32" s="88" t="n"/>
      <c r="F32" s="88" t="n"/>
      <c r="G32" s="88" t="n"/>
    </row>
    <row r="33">
      <c r="B33" s="88" t="n"/>
      <c r="C33" s="88" t="n"/>
      <c r="D33" s="88" t="n"/>
      <c r="E33" s="88" t="n"/>
      <c r="F33" s="88" t="n"/>
      <c r="G33" s="88" t="n"/>
    </row>
    <row r="34">
      <c r="B34" s="88" t="n"/>
      <c r="C34" s="88" t="n"/>
      <c r="D34" s="88" t="n"/>
      <c r="E34" s="88" t="n"/>
      <c r="F34" s="88" t="n"/>
      <c r="G34" s="88" t="n"/>
    </row>
    <row r="35">
      <c r="B35" s="88" t="n"/>
      <c r="C35" s="88" t="n"/>
      <c r="D35" s="88" t="n"/>
      <c r="E35" s="88" t="n"/>
      <c r="F35" s="88" t="n"/>
      <c r="G35" s="88" t="n"/>
    </row>
    <row r="36">
      <c r="B36" s="88" t="n"/>
      <c r="C36" s="88" t="n"/>
      <c r="D36" s="88" t="n"/>
      <c r="E36" s="88" t="n"/>
      <c r="F36" s="88" t="n"/>
      <c r="G36" s="88" t="n"/>
    </row>
    <row r="37">
      <c r="B37" s="88" t="n"/>
      <c r="C37" s="88" t="n"/>
      <c r="D37" s="88" t="n"/>
      <c r="E37" s="88" t="n"/>
      <c r="F37" s="88" t="n"/>
      <c r="G37" s="88" t="n"/>
    </row>
    <row r="38">
      <c r="B38" s="88" t="n"/>
      <c r="C38" s="88" t="n"/>
      <c r="D38" s="88" t="n"/>
      <c r="E38" s="88" t="n"/>
      <c r="F38" s="88" t="n"/>
      <c r="G38" s="88" t="n"/>
    </row>
    <row r="39">
      <c r="B39" s="88" t="n"/>
      <c r="C39" s="88" t="n"/>
      <c r="D39" s="88" t="n"/>
      <c r="E39" s="88" t="n"/>
      <c r="F39" s="88" t="n"/>
      <c r="G39" s="88" t="n"/>
    </row>
    <row r="40">
      <c r="B40" s="88" t="n"/>
      <c r="C40" s="88" t="n"/>
      <c r="D40" s="88" t="n"/>
      <c r="E40" s="88" t="n"/>
      <c r="F40" s="88" t="n"/>
      <c r="G40" s="88" t="n"/>
    </row>
    <row r="41">
      <c r="B41" s="88" t="n"/>
      <c r="C41" s="88" t="n"/>
      <c r="D41" s="88" t="n"/>
      <c r="E41" s="88" t="n"/>
      <c r="F41" s="88" t="n"/>
      <c r="G41" s="88" t="n"/>
    </row>
    <row r="42">
      <c r="B42" s="88" t="n"/>
      <c r="C42" s="88" t="n"/>
      <c r="D42" s="88" t="n"/>
      <c r="E42" s="88" t="n"/>
      <c r="F42" s="88" t="n"/>
      <c r="G42" s="88" t="n"/>
    </row>
    <row r="43">
      <c r="B43" s="88" t="n"/>
      <c r="C43" s="88" t="n"/>
      <c r="D43" s="88" t="n"/>
      <c r="E43" s="88" t="n"/>
      <c r="F43" s="88" t="n"/>
      <c r="G43" s="88" t="n"/>
    </row>
    <row r="44">
      <c r="B44" s="88" t="n"/>
      <c r="C44" s="88" t="n"/>
      <c r="D44" s="88" t="n"/>
      <c r="E44" s="88" t="n"/>
      <c r="F44" s="88" t="n"/>
      <c r="G44" s="88" t="n"/>
    </row>
    <row r="45">
      <c r="B45" s="88" t="n"/>
      <c r="C45" s="88" t="n"/>
      <c r="D45" s="88" t="n"/>
      <c r="E45" s="88" t="n"/>
      <c r="F45" s="88" t="n"/>
      <c r="G45" s="88" t="n"/>
    </row>
    <row r="46">
      <c r="B46" s="88" t="n"/>
      <c r="C46" s="88" t="n"/>
      <c r="D46" s="88" t="n"/>
      <c r="E46" s="88" t="n"/>
      <c r="F46" s="88" t="n"/>
      <c r="G46" s="88" t="n"/>
    </row>
    <row r="47">
      <c r="B47" s="88" t="n"/>
      <c r="C47" s="88" t="n"/>
      <c r="D47" s="88" t="n"/>
      <c r="E47" s="88" t="n"/>
      <c r="F47" s="88" t="n"/>
      <c r="G47" s="88" t="n"/>
    </row>
    <row r="48">
      <c r="B48" s="88" t="n"/>
      <c r="C48" s="88" t="n"/>
      <c r="D48" s="88" t="n"/>
      <c r="E48" s="88" t="n"/>
      <c r="F48" s="88" t="n"/>
      <c r="G48" s="88" t="n"/>
    </row>
    <row r="49">
      <c r="B49" s="88" t="n"/>
      <c r="C49" s="88" t="n"/>
      <c r="D49" s="88" t="n"/>
      <c r="E49" s="88" t="n"/>
      <c r="F49" s="88" t="n"/>
      <c r="G49" s="88" t="n"/>
    </row>
    <row r="50">
      <c r="B50" s="88" t="n"/>
      <c r="C50" s="88" t="n"/>
      <c r="D50" s="88" t="n"/>
      <c r="E50" s="88" t="n"/>
      <c r="F50" s="88" t="n"/>
      <c r="G50" s="88" t="n"/>
    </row>
    <row r="51">
      <c r="B51" s="88" t="n"/>
      <c r="C51" s="88" t="n"/>
      <c r="D51" s="88" t="n"/>
      <c r="E51" s="88" t="n"/>
      <c r="F51" s="88" t="n"/>
      <c r="G51" s="88" t="n"/>
    </row>
    <row r="52">
      <c r="B52" s="88" t="n"/>
      <c r="C52" s="88" t="n"/>
      <c r="D52" s="88" t="n"/>
      <c r="E52" s="88" t="n"/>
      <c r="F52" s="88" t="n"/>
      <c r="G52" s="88" t="n"/>
    </row>
    <row r="53">
      <c r="B53" s="88" t="n"/>
      <c r="C53" s="88" t="n"/>
      <c r="D53" s="88" t="n"/>
      <c r="E53" s="88" t="n"/>
      <c r="F53" s="88" t="n"/>
      <c r="G53" s="88" t="n"/>
    </row>
    <row r="54">
      <c r="B54" s="88" t="n"/>
      <c r="C54" s="88" t="n"/>
      <c r="D54" s="88" t="n"/>
      <c r="E54" s="88" t="n"/>
      <c r="F54" s="88" t="n"/>
      <c r="G54" s="88" t="n"/>
    </row>
    <row r="55">
      <c r="B55" s="88" t="n"/>
      <c r="C55" s="88" t="n"/>
      <c r="D55" s="88" t="n"/>
      <c r="E55" s="88" t="n"/>
      <c r="F55" s="88" t="n"/>
      <c r="G55" s="88" t="n"/>
    </row>
    <row r="56">
      <c r="B56" s="88" t="n"/>
      <c r="C56" s="88" t="n"/>
      <c r="D56" s="88" t="n"/>
      <c r="E56" s="88" t="n"/>
      <c r="F56" s="88" t="n"/>
      <c r="G56" s="88" t="n"/>
    </row>
    <row r="57">
      <c r="B57" s="88" t="n"/>
      <c r="C57" s="88" t="n"/>
      <c r="D57" s="88" t="n"/>
      <c r="E57" s="88" t="n"/>
      <c r="F57" s="88" t="n"/>
      <c r="G57" s="88" t="n"/>
    </row>
    <row r="58">
      <c r="B58" s="88" t="n"/>
      <c r="C58" s="88" t="n"/>
      <c r="D58" s="88" t="n"/>
      <c r="E58" s="88" t="n"/>
      <c r="F58" s="88" t="n"/>
      <c r="G58" s="88" t="n"/>
    </row>
    <row r="59">
      <c r="B59" s="88" t="n"/>
      <c r="C59" s="88" t="n"/>
      <c r="D59" s="88" t="n"/>
      <c r="E59" s="88" t="n"/>
      <c r="F59" s="88" t="n"/>
      <c r="G59" s="88" t="n"/>
    </row>
    <row r="60">
      <c r="B60" s="88" t="n"/>
      <c r="C60" s="88" t="n"/>
      <c r="D60" s="88" t="n"/>
      <c r="E60" s="88" t="n"/>
      <c r="F60" s="88" t="n"/>
      <c r="G60" s="88" t="n"/>
    </row>
    <row r="61">
      <c r="B61" s="88" t="n"/>
      <c r="C61" s="88" t="n"/>
      <c r="D61" s="88" t="n"/>
      <c r="E61" s="88" t="n"/>
      <c r="F61" s="88" t="n"/>
      <c r="G61" s="88" t="n"/>
    </row>
    <row r="62">
      <c r="B62" s="88" t="n"/>
      <c r="C62" s="88" t="n"/>
      <c r="D62" s="88" t="n"/>
      <c r="E62" s="88" t="n"/>
      <c r="F62" s="88" t="n"/>
      <c r="G62" s="88" t="n"/>
    </row>
    <row r="63">
      <c r="B63" s="88" t="n"/>
      <c r="C63" s="88" t="n"/>
      <c r="D63" s="88" t="n"/>
      <c r="E63" s="88" t="n"/>
      <c r="F63" s="88" t="n"/>
      <c r="G63" s="88" t="n"/>
    </row>
    <row r="64">
      <c r="B64" s="88" t="n"/>
      <c r="C64" s="88" t="n"/>
      <c r="D64" s="88" t="n"/>
      <c r="E64" s="88" t="n"/>
      <c r="F64" s="88" t="n"/>
      <c r="G64" s="88" t="n"/>
    </row>
    <row r="65">
      <c r="B65" s="88" t="n"/>
      <c r="C65" s="88" t="n"/>
      <c r="D65" s="88" t="n"/>
      <c r="E65" s="88" t="n"/>
      <c r="F65" s="88" t="n"/>
      <c r="G65" s="88" t="n"/>
    </row>
    <row r="66">
      <c r="B66" s="88" t="n"/>
      <c r="C66" s="88" t="n"/>
      <c r="D66" s="88" t="n"/>
      <c r="E66" s="88" t="n"/>
      <c r="F66" s="88" t="n"/>
      <c r="G66" s="88" t="n"/>
    </row>
    <row r="67">
      <c r="B67" s="88" t="n"/>
      <c r="C67" s="88" t="n"/>
      <c r="D67" s="88" t="n"/>
      <c r="E67" s="88" t="n"/>
      <c r="F67" s="88" t="n"/>
      <c r="G67" s="88" t="n"/>
    </row>
    <row r="68">
      <c r="B68" s="88" t="n"/>
      <c r="C68" s="88" t="n"/>
      <c r="D68" s="88" t="n"/>
      <c r="E68" s="88" t="n"/>
      <c r="F68" s="88" t="n"/>
      <c r="G68" s="88" t="n"/>
    </row>
    <row r="69">
      <c r="B69" s="88" t="n"/>
      <c r="C69" s="88" t="n"/>
      <c r="D69" s="88" t="n"/>
      <c r="E69" s="88" t="n"/>
      <c r="F69" s="88" t="n"/>
      <c r="G69" s="88" t="n"/>
    </row>
    <row r="70">
      <c r="B70" s="88" t="n"/>
      <c r="C70" s="88" t="n"/>
      <c r="D70" s="88" t="n"/>
      <c r="E70" s="88" t="n"/>
      <c r="F70" s="88" t="n"/>
      <c r="G70" s="88" t="n"/>
    </row>
    <row r="71">
      <c r="B71" s="88" t="n"/>
      <c r="C71" s="88" t="n"/>
      <c r="D71" s="88" t="n"/>
      <c r="E71" s="88" t="n"/>
      <c r="F71" s="88" t="n"/>
      <c r="G71" s="88" t="n"/>
    </row>
    <row r="72">
      <c r="B72" s="88" t="n"/>
      <c r="C72" s="88" t="n"/>
      <c r="D72" s="88" t="n"/>
      <c r="E72" s="88" t="n"/>
      <c r="F72" s="88" t="n"/>
      <c r="G72" s="88" t="n"/>
    </row>
    <row r="73">
      <c r="B73" s="88" t="n"/>
      <c r="C73" s="88" t="n"/>
      <c r="D73" s="88" t="n"/>
      <c r="E73" s="88" t="n"/>
      <c r="F73" s="88" t="n"/>
      <c r="G73" s="88" t="n"/>
    </row>
    <row r="74">
      <c r="B74" s="88" t="n"/>
      <c r="C74" s="88" t="n"/>
      <c r="D74" s="88" t="n"/>
      <c r="E74" s="88" t="n"/>
      <c r="F74" s="88" t="n"/>
      <c r="G74" s="88" t="n"/>
    </row>
    <row r="75">
      <c r="B75" s="88" t="n"/>
      <c r="C75" s="88" t="n"/>
      <c r="D75" s="88" t="n"/>
      <c r="E75" s="88" t="n"/>
      <c r="F75" s="88" t="n"/>
      <c r="G75" s="88" t="n"/>
    </row>
    <row r="76">
      <c r="B76" s="88" t="n"/>
      <c r="C76" s="88" t="n"/>
      <c r="D76" s="88" t="n"/>
      <c r="E76" s="88" t="n"/>
      <c r="F76" s="88" t="n"/>
      <c r="G76" s="88" t="n"/>
    </row>
    <row r="77">
      <c r="B77" s="88" t="n"/>
      <c r="C77" s="88" t="n"/>
      <c r="D77" s="88" t="n"/>
      <c r="E77" s="88" t="n"/>
      <c r="F77" s="88" t="n"/>
      <c r="G77" s="88" t="n"/>
    </row>
    <row r="78">
      <c r="B78" s="88" t="n"/>
      <c r="C78" s="88" t="n"/>
      <c r="D78" s="88" t="n"/>
      <c r="E78" s="88" t="n"/>
      <c r="F78" s="88" t="n"/>
      <c r="G78" s="88" t="n"/>
    </row>
    <row r="79">
      <c r="B79" s="88" t="n"/>
      <c r="C79" s="88" t="n"/>
      <c r="D79" s="88" t="n"/>
      <c r="E79" s="88" t="n"/>
      <c r="F79" s="88" t="n"/>
      <c r="G79" s="88" t="n"/>
    </row>
    <row r="80">
      <c r="B80" s="88" t="n"/>
      <c r="C80" s="88" t="n"/>
      <c r="D80" s="88" t="n"/>
      <c r="E80" s="88" t="n"/>
      <c r="F80" s="88" t="n"/>
      <c r="G80" s="88" t="n"/>
    </row>
    <row r="81">
      <c r="B81" s="88" t="n"/>
      <c r="C81" s="88" t="n"/>
      <c r="D81" s="88" t="n"/>
      <c r="E81" s="88" t="n"/>
      <c r="F81" s="88" t="n"/>
      <c r="G81" s="88" t="n"/>
    </row>
    <row r="82">
      <c r="B82" s="88" t="n"/>
      <c r="C82" s="88" t="n"/>
      <c r="D82" s="88" t="n"/>
      <c r="E82" s="88" t="n"/>
      <c r="F82" s="88" t="n"/>
      <c r="G82" s="88" t="n"/>
    </row>
    <row r="83">
      <c r="B83" s="88" t="n"/>
      <c r="C83" s="88" t="n"/>
      <c r="D83" s="88" t="n"/>
      <c r="E83" s="88" t="n"/>
      <c r="F83" s="88" t="n"/>
      <c r="G83" s="88" t="n"/>
    </row>
    <row r="84">
      <c r="B84" s="88" t="n"/>
      <c r="C84" s="88" t="n"/>
      <c r="D84" s="88" t="n"/>
      <c r="E84" s="88" t="n"/>
      <c r="F84" s="88" t="n"/>
      <c r="G84" s="88" t="n"/>
    </row>
    <row r="85">
      <c r="B85" s="88" t="n"/>
      <c r="C85" s="88" t="n"/>
      <c r="D85" s="88" t="n"/>
      <c r="E85" s="88" t="n"/>
      <c r="F85" s="88" t="n"/>
      <c r="G85" s="88" t="n"/>
    </row>
    <row r="86">
      <c r="B86" s="88" t="n"/>
      <c r="C86" s="88" t="n"/>
      <c r="D86" s="88" t="n"/>
      <c r="E86" s="88" t="n"/>
      <c r="F86" s="88" t="n"/>
      <c r="G86" s="88" t="n"/>
    </row>
    <row r="87">
      <c r="B87" s="88" t="n"/>
      <c r="C87" s="88" t="n"/>
      <c r="D87" s="88" t="n"/>
      <c r="E87" s="88" t="n"/>
      <c r="F87" s="88" t="n"/>
      <c r="G87" s="88" t="n"/>
    </row>
    <row r="88">
      <c r="B88" s="88" t="n"/>
      <c r="C88" s="88" t="n"/>
      <c r="D88" s="88" t="n"/>
      <c r="E88" s="88" t="n"/>
      <c r="F88" s="88" t="n"/>
      <c r="G88" s="88" t="n"/>
    </row>
    <row r="89">
      <c r="B89" s="88" t="n"/>
      <c r="C89" s="88" t="n"/>
      <c r="D89" s="88" t="n"/>
      <c r="E89" s="88" t="n"/>
      <c r="F89" s="88" t="n"/>
      <c r="G89" s="88" t="n"/>
    </row>
    <row r="90">
      <c r="B90" s="88" t="n"/>
      <c r="C90" s="88" t="n"/>
      <c r="D90" s="88" t="n"/>
      <c r="E90" s="88" t="n"/>
      <c r="F90" s="88" t="n"/>
      <c r="G90" s="88" t="n"/>
    </row>
    <row r="91">
      <c r="B91" s="88" t="n"/>
      <c r="C91" s="88" t="n"/>
      <c r="D91" s="88" t="n"/>
      <c r="E91" s="88" t="n"/>
      <c r="F91" s="88" t="n"/>
      <c r="G91" s="88" t="n"/>
    </row>
    <row r="92">
      <c r="B92" s="88" t="n"/>
      <c r="C92" s="88" t="n"/>
      <c r="D92" s="88" t="n"/>
      <c r="E92" s="88" t="n"/>
      <c r="F92" s="88" t="n"/>
      <c r="G92" s="88" t="n"/>
    </row>
    <row r="93">
      <c r="B93" s="88" t="n"/>
      <c r="C93" s="88" t="n"/>
      <c r="D93" s="88" t="n"/>
      <c r="E93" s="88" t="n"/>
      <c r="F93" s="88" t="n"/>
      <c r="G93" s="88" t="n"/>
    </row>
    <row r="94">
      <c r="B94" s="88" t="n"/>
      <c r="C94" s="88" t="n"/>
      <c r="D94" s="88" t="n"/>
      <c r="E94" s="88" t="n"/>
      <c r="F94" s="88" t="n"/>
      <c r="G94" s="88" t="n"/>
    </row>
    <row r="95">
      <c r="B95" s="88" t="n"/>
      <c r="C95" s="88" t="n"/>
      <c r="D95" s="88" t="n"/>
      <c r="E95" s="88" t="n"/>
      <c r="F95" s="88" t="n"/>
      <c r="G95" s="88" t="n"/>
    </row>
    <row r="96">
      <c r="B96" s="88" t="n"/>
      <c r="C96" s="88" t="n"/>
      <c r="D96" s="88" t="n"/>
      <c r="E96" s="88" t="n"/>
      <c r="F96" s="88" t="n"/>
      <c r="G96" s="88" t="n"/>
    </row>
    <row r="97">
      <c r="B97" s="88" t="n"/>
      <c r="C97" s="88" t="n"/>
      <c r="D97" s="88" t="n"/>
      <c r="E97" s="88" t="n"/>
      <c r="F97" s="88" t="n"/>
      <c r="G97" s="88" t="n"/>
    </row>
    <row r="98">
      <c r="B98" s="88" t="n"/>
      <c r="C98" s="88" t="n"/>
      <c r="D98" s="88" t="n"/>
      <c r="E98" s="88" t="n"/>
      <c r="F98" s="88" t="n"/>
      <c r="G98" s="88" t="n"/>
    </row>
    <row r="99">
      <c r="B99" s="88" t="n"/>
      <c r="C99" s="88" t="n"/>
      <c r="D99" s="88" t="n"/>
      <c r="E99" s="88" t="n"/>
      <c r="F99" s="88" t="n"/>
      <c r="G99" s="88" t="n"/>
    </row>
    <row r="100">
      <c r="B100" s="88" t="n"/>
      <c r="C100" s="88" t="n"/>
      <c r="D100" s="88" t="n"/>
      <c r="E100" s="88" t="n"/>
      <c r="F100" s="88" t="n"/>
      <c r="G100" s="88" t="n"/>
    </row>
    <row r="101">
      <c r="B101" s="88" t="n"/>
      <c r="C101" s="88" t="n"/>
      <c r="D101" s="88" t="n"/>
      <c r="E101" s="88" t="n"/>
      <c r="F101" s="88" t="n"/>
      <c r="G101" s="88" t="n"/>
    </row>
    <row r="102">
      <c r="B102" s="88" t="n"/>
      <c r="C102" s="88" t="n"/>
      <c r="D102" s="88" t="n"/>
      <c r="E102" s="88" t="n"/>
      <c r="F102" s="88" t="n"/>
      <c r="G102" s="88" t="n"/>
    </row>
    <row r="103">
      <c r="B103" s="88" t="n"/>
      <c r="C103" s="88" t="n"/>
      <c r="D103" s="88" t="n"/>
      <c r="E103" s="88" t="n"/>
      <c r="F103" s="88" t="n"/>
      <c r="G103" s="88" t="n"/>
    </row>
    <row r="104">
      <c r="B104" s="88" t="n"/>
      <c r="C104" s="88" t="n"/>
      <c r="D104" s="88" t="n"/>
      <c r="E104" s="88" t="n"/>
      <c r="F104" s="88" t="n"/>
      <c r="G104" s="88" t="n"/>
    </row>
    <row r="105">
      <c r="B105" s="88" t="n"/>
      <c r="C105" s="88" t="n"/>
      <c r="D105" s="88" t="n"/>
      <c r="E105" s="88" t="n"/>
      <c r="F105" s="88" t="n"/>
      <c r="G105" s="88" t="n"/>
    </row>
    <row r="106">
      <c r="B106" s="88" t="n"/>
      <c r="C106" s="88" t="n"/>
      <c r="D106" s="88" t="n"/>
      <c r="E106" s="88" t="n"/>
      <c r="F106" s="88" t="n"/>
      <c r="G106" s="88" t="n"/>
    </row>
    <row r="107">
      <c r="B107" s="88" t="n"/>
      <c r="C107" s="88" t="n"/>
      <c r="D107" s="88" t="n"/>
      <c r="E107" s="88" t="n"/>
      <c r="F107" s="88" t="n"/>
      <c r="G107" s="88" t="n"/>
    </row>
    <row r="108">
      <c r="B108" s="88" t="n"/>
      <c r="C108" s="88" t="n"/>
      <c r="D108" s="88" t="n"/>
      <c r="E108" s="88" t="n"/>
      <c r="F108" s="88" t="n"/>
      <c r="G108" s="88" t="n"/>
    </row>
    <row r="109">
      <c r="B109" s="88" t="n"/>
      <c r="C109" s="88" t="n"/>
      <c r="D109" s="88" t="n"/>
      <c r="E109" s="88" t="n"/>
      <c r="F109" s="88" t="n"/>
      <c r="G109" s="88" t="n"/>
    </row>
    <row r="110">
      <c r="B110" s="88" t="n"/>
      <c r="C110" s="88" t="n"/>
      <c r="D110" s="88" t="n"/>
      <c r="E110" s="88" t="n"/>
      <c r="F110" s="88" t="n"/>
      <c r="G110" s="88" t="n"/>
    </row>
    <row r="111">
      <c r="B111" s="88" t="n"/>
      <c r="C111" s="88" t="n"/>
      <c r="D111" s="88" t="n"/>
      <c r="E111" s="88" t="n"/>
      <c r="F111" s="88" t="n"/>
      <c r="G111" s="88" t="n"/>
    </row>
    <row r="112">
      <c r="B112" s="88" t="n"/>
      <c r="C112" s="88" t="n"/>
      <c r="D112" s="88" t="n"/>
      <c r="E112" s="88" t="n"/>
      <c r="F112" s="88" t="n"/>
      <c r="G112" s="88" t="n"/>
    </row>
    <row r="113">
      <c r="B113" s="88" t="n"/>
      <c r="C113" s="88" t="n"/>
      <c r="D113" s="88" t="n"/>
      <c r="E113" s="88" t="n"/>
      <c r="F113" s="88" t="n"/>
      <c r="G113" s="88" t="n"/>
    </row>
    <row r="114">
      <c r="B114" s="88" t="n"/>
      <c r="C114" s="88" t="n"/>
      <c r="D114" s="88" t="n"/>
      <c r="E114" s="88" t="n"/>
      <c r="F114" s="88" t="n"/>
      <c r="G114" s="88" t="n"/>
    </row>
    <row r="115">
      <c r="B115" s="88" t="n"/>
      <c r="C115" s="88" t="n"/>
      <c r="D115" s="88" t="n"/>
      <c r="E115" s="88" t="n"/>
      <c r="F115" s="88" t="n"/>
      <c r="G115" s="88" t="n"/>
    </row>
    <row r="116">
      <c r="B116" s="88" t="n"/>
      <c r="C116" s="88" t="n"/>
      <c r="D116" s="88" t="n"/>
      <c r="E116" s="88" t="n"/>
      <c r="F116" s="88" t="n"/>
      <c r="G116" s="88" t="n"/>
    </row>
    <row r="117">
      <c r="B117" s="88" t="n"/>
      <c r="C117" s="88" t="n"/>
      <c r="D117" s="88" t="n"/>
      <c r="E117" s="88" t="n"/>
      <c r="F117" s="88" t="n"/>
      <c r="G117" s="88" t="n"/>
    </row>
    <row r="118">
      <c r="B118" s="88" t="n"/>
      <c r="C118" s="88" t="n"/>
      <c r="D118" s="88" t="n"/>
      <c r="E118" s="88" t="n"/>
      <c r="F118" s="88" t="n"/>
      <c r="G118" s="88" t="n"/>
    </row>
    <row r="119">
      <c r="B119" s="88" t="n"/>
      <c r="C119" s="88" t="n"/>
      <c r="D119" s="88" t="n"/>
      <c r="E119" s="88" t="n"/>
      <c r="F119" s="88" t="n"/>
      <c r="G119" s="88" t="n"/>
    </row>
    <row r="120">
      <c r="B120" s="88" t="n"/>
      <c r="C120" s="88" t="n"/>
      <c r="D120" s="88" t="n"/>
      <c r="E120" s="88" t="n"/>
      <c r="F120" s="88" t="n"/>
      <c r="G120" s="88" t="n"/>
    </row>
    <row r="121">
      <c r="B121" s="88" t="n"/>
      <c r="C121" s="88" t="n"/>
      <c r="D121" s="88" t="n"/>
      <c r="E121" s="88" t="n"/>
      <c r="F121" s="88" t="n"/>
      <c r="G121" s="88" t="n"/>
    </row>
    <row r="122">
      <c r="B122" s="88" t="n"/>
      <c r="C122" s="88" t="n"/>
      <c r="D122" s="88" t="n"/>
      <c r="E122" s="88" t="n"/>
      <c r="F122" s="88" t="n"/>
      <c r="G122" s="88" t="n"/>
    </row>
    <row r="123">
      <c r="B123" s="88" t="n"/>
      <c r="C123" s="88" t="n"/>
      <c r="D123" s="88" t="n"/>
      <c r="E123" s="88" t="n"/>
      <c r="F123" s="88" t="n"/>
      <c r="G123" s="88" t="n"/>
    </row>
    <row r="124">
      <c r="B124" s="88" t="n"/>
      <c r="C124" s="88" t="n"/>
      <c r="D124" s="88" t="n"/>
      <c r="E124" s="88" t="n"/>
      <c r="F124" s="88" t="n"/>
      <c r="G124" s="88" t="n"/>
    </row>
    <row r="125">
      <c r="B125" s="88" t="n"/>
      <c r="C125" s="88" t="n"/>
      <c r="D125" s="88" t="n"/>
      <c r="E125" s="88" t="n"/>
      <c r="F125" s="88" t="n"/>
      <c r="G125" s="88" t="n"/>
    </row>
    <row r="126">
      <c r="B126" s="88" t="n"/>
      <c r="C126" s="88" t="n"/>
      <c r="D126" s="88" t="n"/>
      <c r="E126" s="88" t="n"/>
      <c r="F126" s="88" t="n"/>
      <c r="G126" s="88" t="n"/>
    </row>
    <row r="127">
      <c r="B127" s="88" t="n"/>
      <c r="C127" s="88" t="n"/>
      <c r="D127" s="88" t="n"/>
      <c r="E127" s="88" t="n"/>
      <c r="F127" s="88" t="n"/>
      <c r="G127" s="88" t="n"/>
    </row>
    <row r="128">
      <c r="B128" s="88" t="n"/>
      <c r="C128" s="88" t="n"/>
      <c r="D128" s="88" t="n"/>
      <c r="E128" s="88" t="n"/>
      <c r="F128" s="88" t="n"/>
      <c r="G128" s="88" t="n"/>
    </row>
    <row r="129">
      <c r="B129" s="88" t="n"/>
      <c r="C129" s="88" t="n"/>
      <c r="D129" s="88" t="n"/>
      <c r="E129" s="88" t="n"/>
      <c r="F129" s="88" t="n"/>
      <c r="G129" s="88" t="n"/>
    </row>
    <row r="130">
      <c r="B130" s="88" t="n"/>
      <c r="C130" s="88" t="n"/>
      <c r="D130" s="88" t="n"/>
      <c r="E130" s="88" t="n"/>
      <c r="F130" s="88" t="n"/>
      <c r="G130" s="88" t="n"/>
    </row>
    <row r="131">
      <c r="B131" s="88" t="n"/>
      <c r="C131" s="88" t="n"/>
      <c r="D131" s="88" t="n"/>
      <c r="E131" s="88" t="n"/>
      <c r="F131" s="88" t="n"/>
      <c r="G131" s="88" t="n"/>
    </row>
    <row r="132">
      <c r="B132" s="88" t="n"/>
      <c r="C132" s="88" t="n"/>
      <c r="D132" s="88" t="n"/>
      <c r="E132" s="88" t="n"/>
      <c r="F132" s="88" t="n"/>
      <c r="G132" s="88" t="n"/>
    </row>
    <row r="133">
      <c r="B133" s="88" t="n"/>
      <c r="C133" s="88" t="n"/>
      <c r="D133" s="88" t="n"/>
      <c r="E133" s="88" t="n"/>
      <c r="F133" s="88" t="n"/>
      <c r="G133" s="88" t="n"/>
    </row>
    <row r="134">
      <c r="B134" s="88" t="n"/>
      <c r="C134" s="88" t="n"/>
      <c r="D134" s="88" t="n"/>
      <c r="E134" s="88" t="n"/>
      <c r="F134" s="88" t="n"/>
      <c r="G134" s="88" t="n"/>
    </row>
    <row r="135">
      <c r="B135" s="88" t="n"/>
      <c r="C135" s="88" t="n"/>
      <c r="D135" s="88" t="n"/>
      <c r="E135" s="88" t="n"/>
      <c r="F135" s="88" t="n"/>
      <c r="G135" s="88" t="n"/>
    </row>
    <row r="136">
      <c r="B136" s="88" t="n"/>
      <c r="C136" s="88" t="n"/>
      <c r="D136" s="88" t="n"/>
      <c r="E136" s="88" t="n"/>
      <c r="F136" s="88" t="n"/>
      <c r="G136" s="88" t="n"/>
    </row>
    <row r="137">
      <c r="B137" s="88" t="n"/>
      <c r="C137" s="88" t="n"/>
      <c r="D137" s="88" t="n"/>
      <c r="E137" s="88" t="n"/>
      <c r="F137" s="88" t="n"/>
      <c r="G137" s="88" t="n"/>
    </row>
    <row r="138">
      <c r="B138" s="88" t="n"/>
      <c r="C138" s="88" t="n"/>
      <c r="D138" s="88" t="n"/>
      <c r="E138" s="88" t="n"/>
      <c r="F138" s="88" t="n"/>
      <c r="G138" s="88" t="n"/>
    </row>
    <row r="139">
      <c r="B139" s="88" t="n"/>
      <c r="C139" s="88" t="n"/>
      <c r="D139" s="88" t="n"/>
      <c r="E139" s="88" t="n"/>
      <c r="F139" s="88" t="n"/>
      <c r="G139" s="88" t="n"/>
    </row>
    <row r="140">
      <c r="B140" s="88" t="n"/>
      <c r="C140" s="88" t="n"/>
      <c r="D140" s="88" t="n"/>
      <c r="E140" s="88" t="n"/>
      <c r="F140" s="88" t="n"/>
      <c r="G140" s="88" t="n"/>
    </row>
    <row r="141">
      <c r="B141" s="88" t="n"/>
      <c r="C141" s="88" t="n"/>
      <c r="D141" s="88" t="n"/>
      <c r="E141" s="88" t="n"/>
      <c r="F141" s="88" t="n"/>
      <c r="G141" s="88" t="n"/>
    </row>
    <row r="142">
      <c r="B142" s="88" t="n"/>
      <c r="C142" s="88" t="n"/>
      <c r="D142" s="88" t="n"/>
      <c r="E142" s="88" t="n"/>
      <c r="F142" s="88" t="n"/>
      <c r="G142" s="88" t="n"/>
    </row>
    <row r="143">
      <c r="B143" s="88" t="n"/>
      <c r="C143" s="88" t="n"/>
      <c r="D143" s="88" t="n"/>
      <c r="E143" s="88" t="n"/>
      <c r="F143" s="88" t="n"/>
      <c r="G143" s="88" t="n"/>
    </row>
    <row r="144">
      <c r="B144" s="88" t="n"/>
      <c r="C144" s="88" t="n"/>
      <c r="D144" s="88" t="n"/>
      <c r="E144" s="88" t="n"/>
      <c r="F144" s="88" t="n"/>
      <c r="G144" s="88" t="n"/>
    </row>
    <row r="145">
      <c r="B145" s="88" t="n"/>
      <c r="C145" s="88" t="n"/>
      <c r="D145" s="88" t="n"/>
      <c r="E145" s="88" t="n"/>
      <c r="F145" s="88" t="n"/>
      <c r="G145" s="88" t="n"/>
    </row>
    <row r="146">
      <c r="B146" s="88" t="n"/>
      <c r="C146" s="88" t="n"/>
      <c r="D146" s="88" t="n"/>
      <c r="E146" s="88" t="n"/>
      <c r="F146" s="88" t="n"/>
      <c r="G146" s="88" t="n"/>
    </row>
    <row r="147">
      <c r="B147" s="88" t="n"/>
      <c r="C147" s="88" t="n"/>
      <c r="D147" s="88" t="n"/>
      <c r="E147" s="88" t="n"/>
      <c r="F147" s="88" t="n"/>
      <c r="G147" s="88" t="n"/>
    </row>
    <row r="148">
      <c r="B148" s="88" t="n"/>
      <c r="C148" s="88" t="n"/>
      <c r="D148" s="88" t="n"/>
      <c r="E148" s="88" t="n"/>
      <c r="F148" s="88" t="n"/>
      <c r="G148" s="88" t="n"/>
    </row>
    <row r="149">
      <c r="B149" s="88" t="n"/>
      <c r="C149" s="88" t="n"/>
      <c r="D149" s="88" t="n"/>
      <c r="E149" s="88" t="n"/>
      <c r="F149" s="88" t="n"/>
      <c r="G149" s="88" t="n"/>
    </row>
    <row r="150">
      <c r="B150" s="88" t="n"/>
      <c r="C150" s="88" t="n"/>
      <c r="D150" s="88" t="n"/>
      <c r="E150" s="88" t="n"/>
      <c r="F150" s="88" t="n"/>
      <c r="G150" s="88" t="n"/>
    </row>
    <row r="151">
      <c r="B151" s="88" t="n"/>
      <c r="C151" s="88" t="n"/>
      <c r="D151" s="88" t="n"/>
      <c r="E151" s="88" t="n"/>
      <c r="F151" s="88" t="n"/>
      <c r="G151" s="88" t="n"/>
    </row>
    <row r="152">
      <c r="B152" s="88" t="n"/>
      <c r="C152" s="88" t="n"/>
      <c r="D152" s="88" t="n"/>
      <c r="E152" s="88" t="n"/>
      <c r="F152" s="88" t="n"/>
      <c r="G152" s="88" t="n"/>
    </row>
    <row r="153">
      <c r="B153" s="88" t="n"/>
      <c r="C153" s="88" t="n"/>
      <c r="D153" s="88" t="n"/>
      <c r="E153" s="88" t="n"/>
      <c r="F153" s="88" t="n"/>
      <c r="G153" s="88" t="n"/>
    </row>
    <row r="154">
      <c r="B154" s="88" t="n"/>
      <c r="C154" s="88" t="n"/>
      <c r="D154" s="88" t="n"/>
      <c r="E154" s="88" t="n"/>
      <c r="F154" s="88" t="n"/>
      <c r="G154" s="88" t="n"/>
    </row>
    <row r="155">
      <c r="B155" s="88" t="n"/>
      <c r="C155" s="88" t="n"/>
      <c r="D155" s="88" t="n"/>
      <c r="E155" s="88" t="n"/>
      <c r="F155" s="88" t="n"/>
      <c r="G155" s="88" t="n"/>
    </row>
    <row r="156">
      <c r="B156" s="88" t="n"/>
      <c r="C156" s="88" t="n"/>
      <c r="D156" s="88" t="n"/>
      <c r="E156" s="88" t="n"/>
      <c r="F156" s="88" t="n"/>
      <c r="G156" s="88" t="n"/>
    </row>
    <row r="157">
      <c r="B157" s="88" t="n"/>
      <c r="C157" s="88" t="n"/>
      <c r="D157" s="88" t="n"/>
      <c r="E157" s="88" t="n"/>
      <c r="F157" s="88" t="n"/>
      <c r="G157" s="88" t="n"/>
    </row>
    <row r="158">
      <c r="B158" s="88" t="n"/>
      <c r="C158" s="88" t="n"/>
      <c r="D158" s="88" t="n"/>
      <c r="E158" s="88" t="n"/>
      <c r="F158" s="88" t="n"/>
      <c r="G158" s="88" t="n"/>
    </row>
    <row r="159">
      <c r="B159" s="88" t="n"/>
      <c r="C159" s="88" t="n"/>
      <c r="D159" s="88" t="n"/>
      <c r="E159" s="88" t="n"/>
      <c r="F159" s="88" t="n"/>
      <c r="G159" s="88" t="n"/>
    </row>
    <row r="160">
      <c r="B160" s="88" t="n"/>
      <c r="C160" s="88" t="n"/>
      <c r="D160" s="88" t="n"/>
      <c r="E160" s="88" t="n"/>
      <c r="F160" s="88" t="n"/>
      <c r="G160" s="88" t="n"/>
    </row>
    <row r="161">
      <c r="B161" s="88" t="n"/>
      <c r="C161" s="88" t="n"/>
      <c r="D161" s="88" t="n"/>
      <c r="E161" s="88" t="n"/>
      <c r="F161" s="88" t="n"/>
      <c r="G161" s="88" t="n"/>
    </row>
    <row r="162">
      <c r="B162" s="88" t="n"/>
      <c r="C162" s="88" t="n"/>
      <c r="D162" s="88" t="n"/>
      <c r="E162" s="88" t="n"/>
      <c r="F162" s="88" t="n"/>
      <c r="G162" s="88" t="n"/>
    </row>
    <row r="163">
      <c r="B163" s="88" t="n"/>
      <c r="C163" s="88" t="n"/>
      <c r="D163" s="88" t="n"/>
      <c r="E163" s="88" t="n"/>
      <c r="F163" s="88" t="n"/>
      <c r="G163" s="88" t="n"/>
    </row>
    <row r="164">
      <c r="B164" s="88" t="n"/>
      <c r="C164" s="88" t="n"/>
      <c r="D164" s="88" t="n"/>
      <c r="E164" s="88" t="n"/>
      <c r="F164" s="88" t="n"/>
      <c r="G164" s="88" t="n"/>
    </row>
    <row r="165">
      <c r="B165" s="88" t="n"/>
      <c r="C165" s="88" t="n"/>
      <c r="D165" s="88" t="n"/>
      <c r="E165" s="88" t="n"/>
      <c r="F165" s="88" t="n"/>
      <c r="G165" s="88" t="n"/>
    </row>
    <row r="166">
      <c r="B166" s="88" t="n"/>
      <c r="C166" s="88" t="n"/>
      <c r="D166" s="88" t="n"/>
      <c r="E166" s="88" t="n"/>
      <c r="F166" s="88" t="n"/>
      <c r="G166" s="88" t="n"/>
    </row>
    <row r="167">
      <c r="B167" s="88" t="n"/>
      <c r="C167" s="88" t="n"/>
      <c r="D167" s="88" t="n"/>
      <c r="E167" s="88" t="n"/>
      <c r="F167" s="88" t="n"/>
      <c r="G167" s="88" t="n"/>
    </row>
    <row r="168">
      <c r="B168" s="88" t="n"/>
      <c r="C168" s="88" t="n"/>
      <c r="D168" s="88" t="n"/>
      <c r="E168" s="88" t="n"/>
      <c r="F168" s="88" t="n"/>
      <c r="G168" s="88" t="n"/>
    </row>
    <row r="169">
      <c r="B169" s="88" t="n"/>
      <c r="C169" s="88" t="n"/>
      <c r="D169" s="88" t="n"/>
      <c r="E169" s="88" t="n"/>
      <c r="F169" s="88" t="n"/>
      <c r="G169" s="88" t="n"/>
    </row>
    <row r="170">
      <c r="B170" s="88" t="n"/>
      <c r="C170" s="88" t="n"/>
      <c r="D170" s="88" t="n"/>
      <c r="E170" s="88" t="n"/>
      <c r="F170" s="88" t="n"/>
      <c r="G170" s="88" t="n"/>
    </row>
    <row r="171">
      <c r="B171" s="88" t="n"/>
      <c r="C171" s="88" t="n"/>
      <c r="D171" s="88" t="n"/>
      <c r="E171" s="88" t="n"/>
      <c r="F171" s="88" t="n"/>
      <c r="G171" s="88" t="n"/>
    </row>
    <row r="172">
      <c r="B172" s="88" t="n"/>
      <c r="C172" s="88" t="n"/>
      <c r="D172" s="88" t="n"/>
      <c r="E172" s="88" t="n"/>
      <c r="F172" s="88" t="n"/>
      <c r="G172" s="88" t="n"/>
    </row>
    <row r="173">
      <c r="B173" s="88" t="n"/>
      <c r="C173" s="88" t="n"/>
      <c r="D173" s="88" t="n"/>
      <c r="E173" s="88" t="n"/>
      <c r="F173" s="88" t="n"/>
      <c r="G173" s="88" t="n"/>
    </row>
    <row r="174">
      <c r="B174" s="88" t="n"/>
      <c r="C174" s="88" t="n"/>
      <c r="D174" s="88" t="n"/>
      <c r="E174" s="88" t="n"/>
      <c r="F174" s="88" t="n"/>
      <c r="G174" s="88" t="n"/>
    </row>
    <row r="175">
      <c r="B175" s="88" t="n"/>
      <c r="C175" s="88" t="n"/>
      <c r="D175" s="88" t="n"/>
      <c r="E175" s="88" t="n"/>
      <c r="F175" s="88" t="n"/>
      <c r="G175" s="88" t="n"/>
    </row>
    <row r="176">
      <c r="B176" s="88" t="n"/>
      <c r="C176" s="88" t="n"/>
      <c r="D176" s="88" t="n"/>
      <c r="E176" s="88" t="n"/>
      <c r="F176" s="88" t="n"/>
      <c r="G176" s="88" t="n"/>
    </row>
    <row r="177">
      <c r="B177" s="88" t="n"/>
      <c r="C177" s="88" t="n"/>
      <c r="D177" s="88" t="n"/>
      <c r="E177" s="88" t="n"/>
      <c r="F177" s="88" t="n"/>
      <c r="G177" s="88" t="n"/>
    </row>
    <row r="178">
      <c r="B178" s="88" t="n"/>
      <c r="C178" s="88" t="n"/>
      <c r="D178" s="88" t="n"/>
      <c r="E178" s="88" t="n"/>
      <c r="F178" s="88" t="n"/>
      <c r="G178" s="88" t="n"/>
    </row>
    <row r="179">
      <c r="B179" s="88" t="n"/>
      <c r="C179" s="88" t="n"/>
      <c r="D179" s="88" t="n"/>
      <c r="E179" s="88" t="n"/>
      <c r="F179" s="88" t="n"/>
      <c r="G179" s="88" t="n"/>
    </row>
    <row r="180">
      <c r="B180" s="88" t="n"/>
      <c r="C180" s="88" t="n"/>
      <c r="D180" s="88" t="n"/>
      <c r="E180" s="88" t="n"/>
      <c r="F180" s="88" t="n"/>
      <c r="G180" s="88" t="n"/>
    </row>
    <row r="181">
      <c r="B181" s="88" t="n"/>
      <c r="C181" s="88" t="n"/>
      <c r="D181" s="88" t="n"/>
      <c r="E181" s="88" t="n"/>
      <c r="F181" s="88" t="n"/>
      <c r="G181" s="88" t="n"/>
    </row>
    <row r="182">
      <c r="B182" s="88" t="n"/>
      <c r="C182" s="88" t="n"/>
      <c r="D182" s="88" t="n"/>
      <c r="E182" s="88" t="n"/>
      <c r="F182" s="88" t="n"/>
      <c r="G182" s="88" t="n"/>
    </row>
    <row r="183">
      <c r="B183" s="88" t="n"/>
      <c r="C183" s="88" t="n"/>
      <c r="D183" s="88" t="n"/>
      <c r="E183" s="88" t="n"/>
      <c r="F183" s="88" t="n"/>
      <c r="G183" s="88" t="n"/>
    </row>
    <row r="184">
      <c r="B184" s="88" t="n"/>
      <c r="C184" s="88" t="n"/>
      <c r="D184" s="88" t="n"/>
      <c r="E184" s="88" t="n"/>
      <c r="F184" s="88" t="n"/>
      <c r="G184" s="88" t="n"/>
    </row>
    <row r="185">
      <c r="B185" s="88" t="n"/>
      <c r="C185" s="88" t="n"/>
      <c r="D185" s="88" t="n"/>
      <c r="E185" s="88" t="n"/>
      <c r="F185" s="88" t="n"/>
      <c r="G185" s="88" t="n"/>
    </row>
    <row r="186">
      <c r="B186" s="88" t="n"/>
      <c r="C186" s="88" t="n"/>
      <c r="D186" s="88" t="n"/>
      <c r="E186" s="88" t="n"/>
      <c r="F186" s="88" t="n"/>
      <c r="G186" s="88" t="n"/>
    </row>
    <row r="187">
      <c r="B187" s="88" t="n"/>
      <c r="C187" s="88" t="n"/>
      <c r="D187" s="88" t="n"/>
      <c r="E187" s="88" t="n"/>
      <c r="F187" s="88" t="n"/>
      <c r="G187" s="88" t="n"/>
    </row>
    <row r="188">
      <c r="B188" s="88" t="n"/>
      <c r="C188" s="88" t="n"/>
      <c r="D188" s="88" t="n"/>
      <c r="E188" s="88" t="n"/>
      <c r="F188" s="88" t="n"/>
      <c r="G188" s="88" t="n"/>
    </row>
    <row r="189">
      <c r="B189" s="88" t="n"/>
      <c r="C189" s="88" t="n"/>
      <c r="D189" s="88" t="n"/>
      <c r="E189" s="88" t="n"/>
      <c r="F189" s="88" t="n"/>
      <c r="G189" s="88" t="n"/>
    </row>
    <row r="190">
      <c r="B190" s="88" t="n"/>
      <c r="C190" s="88" t="n"/>
      <c r="D190" s="88" t="n"/>
      <c r="E190" s="88" t="n"/>
      <c r="F190" s="88" t="n"/>
      <c r="G190" s="88" t="n"/>
    </row>
    <row r="191">
      <c r="B191" s="88" t="n"/>
      <c r="C191" s="88" t="n"/>
      <c r="D191" s="88" t="n"/>
      <c r="E191" s="88" t="n"/>
      <c r="F191" s="88" t="n"/>
      <c r="G191" s="88" t="n"/>
    </row>
    <row r="192">
      <c r="B192" s="88" t="n"/>
      <c r="C192" s="88" t="n"/>
      <c r="D192" s="88" t="n"/>
      <c r="E192" s="88" t="n"/>
      <c r="F192" s="88" t="n"/>
      <c r="G192" s="88" t="n"/>
    </row>
    <row r="193">
      <c r="B193" s="88" t="n"/>
      <c r="C193" s="88" t="n"/>
      <c r="D193" s="88" t="n"/>
      <c r="E193" s="88" t="n"/>
      <c r="F193" s="88" t="n"/>
      <c r="G193" s="88" t="n"/>
    </row>
    <row r="194">
      <c r="B194" s="88" t="n"/>
      <c r="C194" s="88" t="n"/>
      <c r="D194" s="88" t="n"/>
      <c r="E194" s="88" t="n"/>
      <c r="F194" s="88" t="n"/>
      <c r="G194" s="88" t="n"/>
    </row>
    <row r="195">
      <c r="B195" s="88" t="n"/>
      <c r="C195" s="88" t="n"/>
      <c r="D195" s="88" t="n"/>
      <c r="E195" s="88" t="n"/>
      <c r="F195" s="88" t="n"/>
      <c r="G195" s="88" t="n"/>
    </row>
    <row r="196">
      <c r="B196" s="88" t="n"/>
      <c r="C196" s="88" t="n"/>
      <c r="D196" s="88" t="n"/>
      <c r="E196" s="88" t="n"/>
      <c r="F196" s="88" t="n"/>
      <c r="G196" s="88" t="n"/>
    </row>
    <row r="197">
      <c r="B197" s="88" t="n"/>
      <c r="C197" s="88" t="n"/>
      <c r="D197" s="88" t="n"/>
      <c r="E197" s="88" t="n"/>
      <c r="F197" s="88" t="n"/>
      <c r="G197" s="88" t="n"/>
    </row>
    <row r="198">
      <c r="B198" s="88" t="n"/>
      <c r="C198" s="88" t="n"/>
      <c r="D198" s="88" t="n"/>
      <c r="E198" s="88" t="n"/>
      <c r="F198" s="88" t="n"/>
      <c r="G198" s="88" t="n"/>
    </row>
    <row r="199">
      <c r="B199" s="88" t="n"/>
      <c r="C199" s="88" t="n"/>
      <c r="D199" s="88" t="n"/>
      <c r="E199" s="88" t="n"/>
      <c r="F199" s="88" t="n"/>
      <c r="G199" s="88" t="n"/>
    </row>
    <row r="200">
      <c r="B200" s="88" t="n"/>
      <c r="C200" s="88" t="n"/>
      <c r="D200" s="88" t="n"/>
      <c r="E200" s="88" t="n"/>
      <c r="F200" s="88" t="n"/>
      <c r="G200" s="88" t="n"/>
    </row>
    <row r="201">
      <c r="B201" s="88" t="n"/>
      <c r="C201" s="88" t="n"/>
      <c r="D201" s="88" t="n"/>
      <c r="E201" s="88" t="n"/>
      <c r="F201" s="88" t="n"/>
      <c r="G201" s="88" t="n"/>
    </row>
    <row r="202">
      <c r="B202" s="88" t="n"/>
      <c r="C202" s="88" t="n"/>
      <c r="D202" s="88" t="n"/>
      <c r="E202" s="88" t="n"/>
      <c r="F202" s="88" t="n"/>
      <c r="G202" s="88" t="n"/>
    </row>
    <row r="203">
      <c r="B203" s="88" t="n"/>
      <c r="C203" s="88" t="n"/>
      <c r="D203" s="88" t="n"/>
      <c r="E203" s="88" t="n"/>
      <c r="F203" s="88" t="n"/>
      <c r="G203" s="88" t="n"/>
    </row>
    <row r="204">
      <c r="B204" s="88" t="n"/>
      <c r="C204" s="88" t="n"/>
      <c r="D204" s="88" t="n"/>
      <c r="E204" s="88" t="n"/>
      <c r="F204" s="88" t="n"/>
      <c r="G204" s="88" t="n"/>
    </row>
    <row r="205">
      <c r="B205" s="88" t="n"/>
      <c r="C205" s="88" t="n"/>
      <c r="D205" s="88" t="n"/>
      <c r="E205" s="88" t="n"/>
      <c r="F205" s="88" t="n"/>
      <c r="G205" s="88" t="n"/>
    </row>
    <row r="206">
      <c r="B206" s="88" t="n"/>
      <c r="C206" s="88" t="n"/>
      <c r="D206" s="88" t="n"/>
      <c r="E206" s="88" t="n"/>
      <c r="F206" s="88" t="n"/>
      <c r="G206" s="88" t="n"/>
    </row>
    <row r="207">
      <c r="B207" s="88" t="n"/>
      <c r="C207" s="88" t="n"/>
      <c r="D207" s="88" t="n"/>
      <c r="E207" s="88" t="n"/>
      <c r="F207" s="88" t="n"/>
      <c r="G207" s="88" t="n"/>
    </row>
    <row r="208">
      <c r="B208" s="88" t="n"/>
      <c r="C208" s="88" t="n"/>
      <c r="D208" s="88" t="n"/>
      <c r="E208" s="88" t="n"/>
      <c r="F208" s="88" t="n"/>
      <c r="G208" s="88" t="n"/>
    </row>
    <row r="209">
      <c r="B209" s="88" t="n"/>
      <c r="C209" s="88" t="n"/>
      <c r="D209" s="88" t="n"/>
      <c r="E209" s="88" t="n"/>
      <c r="F209" s="88" t="n"/>
      <c r="G209" s="88" t="n"/>
    </row>
    <row r="210">
      <c r="B210" s="88" t="n"/>
      <c r="C210" s="88" t="n"/>
      <c r="D210" s="88" t="n"/>
      <c r="E210" s="88" t="n"/>
      <c r="F210" s="88" t="n"/>
      <c r="G210" s="88" t="n"/>
    </row>
    <row r="211">
      <c r="B211" s="88" t="n"/>
      <c r="C211" s="88" t="n"/>
      <c r="D211" s="88" t="n"/>
      <c r="E211" s="88" t="n"/>
      <c r="F211" s="88" t="n"/>
      <c r="G211" s="88" t="n"/>
    </row>
    <row r="212">
      <c r="B212" s="88" t="n"/>
      <c r="C212" s="88" t="n"/>
      <c r="D212" s="88" t="n"/>
      <c r="E212" s="88" t="n"/>
      <c r="F212" s="88" t="n"/>
      <c r="G212" s="88" t="n"/>
    </row>
    <row r="213">
      <c r="B213" s="88" t="n"/>
      <c r="C213" s="88" t="n"/>
      <c r="D213" s="88" t="n"/>
      <c r="E213" s="88" t="n"/>
      <c r="F213" s="88" t="n"/>
      <c r="G213" s="88" t="n"/>
    </row>
    <row r="214">
      <c r="B214" s="88" t="n"/>
      <c r="C214" s="88" t="n"/>
      <c r="D214" s="88" t="n"/>
      <c r="E214" s="88" t="n"/>
      <c r="F214" s="88" t="n"/>
      <c r="G214" s="88" t="n"/>
    </row>
    <row r="215">
      <c r="B215" s="88" t="n"/>
      <c r="C215" s="88" t="n"/>
      <c r="D215" s="88" t="n"/>
      <c r="E215" s="88" t="n"/>
      <c r="F215" s="88" t="n"/>
      <c r="G215" s="88" t="n"/>
    </row>
    <row r="216">
      <c r="B216" s="88" t="n"/>
      <c r="C216" s="88" t="n"/>
      <c r="D216" s="88" t="n"/>
      <c r="E216" s="88" t="n"/>
      <c r="F216" s="88" t="n"/>
      <c r="G216" s="88" t="n"/>
    </row>
    <row r="217">
      <c r="B217" s="88" t="n"/>
      <c r="C217" s="88" t="n"/>
      <c r="D217" s="88" t="n"/>
      <c r="E217" s="88" t="n"/>
      <c r="F217" s="88" t="n"/>
      <c r="G217" s="88" t="n"/>
    </row>
    <row r="218">
      <c r="B218" s="88" t="n"/>
      <c r="C218" s="88" t="n"/>
      <c r="D218" s="88" t="n"/>
      <c r="E218" s="88" t="n"/>
      <c r="F218" s="88" t="n"/>
      <c r="G218" s="88" t="n"/>
    </row>
    <row r="219">
      <c r="B219" s="88" t="n"/>
      <c r="C219" s="88" t="n"/>
      <c r="D219" s="88" t="n"/>
      <c r="E219" s="88" t="n"/>
      <c r="F219" s="88" t="n"/>
      <c r="G219" s="88" t="n"/>
    </row>
    <row r="220">
      <c r="B220" s="88" t="n"/>
      <c r="C220" s="88" t="n"/>
      <c r="D220" s="88" t="n"/>
      <c r="E220" s="88" t="n"/>
      <c r="F220" s="88" t="n"/>
      <c r="G220" s="88" t="n"/>
    </row>
    <row r="221">
      <c r="B221" s="88" t="n"/>
      <c r="C221" s="88" t="n"/>
      <c r="D221" s="88" t="n"/>
      <c r="E221" s="88" t="n"/>
      <c r="F221" s="88" t="n"/>
      <c r="G221" s="88" t="n"/>
    </row>
    <row r="222">
      <c r="B222" s="88" t="n"/>
      <c r="C222" s="88" t="n"/>
      <c r="D222" s="88" t="n"/>
      <c r="E222" s="88" t="n"/>
      <c r="F222" s="88" t="n"/>
      <c r="G222" s="88" t="n"/>
    </row>
    <row r="223">
      <c r="B223" s="88" t="n"/>
      <c r="C223" s="88" t="n"/>
      <c r="D223" s="88" t="n"/>
      <c r="E223" s="88" t="n"/>
      <c r="F223" s="88" t="n"/>
      <c r="G223" s="88" t="n"/>
    </row>
    <row r="224">
      <c r="B224" s="88" t="n"/>
      <c r="C224" s="88" t="n"/>
      <c r="D224" s="88" t="n"/>
      <c r="E224" s="88" t="n"/>
      <c r="F224" s="88" t="n"/>
      <c r="G224" s="88" t="n"/>
    </row>
    <row r="225">
      <c r="B225" s="88" t="n"/>
      <c r="C225" s="88" t="n"/>
      <c r="D225" s="88" t="n"/>
      <c r="E225" s="88" t="n"/>
      <c r="F225" s="88" t="n"/>
      <c r="G225" s="88" t="n"/>
    </row>
    <row r="226">
      <c r="B226" s="88" t="n"/>
      <c r="C226" s="88" t="n"/>
      <c r="D226" s="88" t="n"/>
      <c r="E226" s="88" t="n"/>
      <c r="F226" s="88" t="n"/>
      <c r="G226" s="88" t="n"/>
    </row>
    <row r="227">
      <c r="B227" s="88" t="n"/>
      <c r="C227" s="88" t="n"/>
      <c r="D227" s="88" t="n"/>
      <c r="E227" s="88" t="n"/>
      <c r="F227" s="88" t="n"/>
      <c r="G227" s="88" t="n"/>
    </row>
    <row r="228">
      <c r="B228" s="88" t="n"/>
      <c r="C228" s="88" t="n"/>
      <c r="D228" s="88" t="n"/>
      <c r="E228" s="88" t="n"/>
      <c r="F228" s="88" t="n"/>
      <c r="G228" s="88" t="n"/>
    </row>
    <row r="229">
      <c r="B229" s="88" t="n"/>
      <c r="C229" s="88" t="n"/>
      <c r="D229" s="88" t="n"/>
      <c r="E229" s="88" t="n"/>
      <c r="F229" s="88" t="n"/>
      <c r="G229" s="88" t="n"/>
    </row>
    <row r="230">
      <c r="B230" s="88" t="n"/>
      <c r="C230" s="88" t="n"/>
      <c r="D230" s="88" t="n"/>
      <c r="E230" s="88" t="n"/>
      <c r="F230" s="88" t="n"/>
      <c r="G230" s="88" t="n"/>
    </row>
    <row r="231">
      <c r="B231" s="88" t="n"/>
      <c r="C231" s="88" t="n"/>
      <c r="D231" s="88" t="n"/>
      <c r="E231" s="88" t="n"/>
      <c r="F231" s="88" t="n"/>
      <c r="G231" s="88" t="n"/>
    </row>
    <row r="232">
      <c r="B232" s="88" t="n"/>
      <c r="C232" s="88" t="n"/>
      <c r="D232" s="88" t="n"/>
      <c r="E232" s="88" t="n"/>
      <c r="F232" s="88" t="n"/>
      <c r="G232" s="88" t="n"/>
    </row>
    <row r="233">
      <c r="B233" s="88" t="n"/>
      <c r="C233" s="88" t="n"/>
      <c r="D233" s="88" t="n"/>
      <c r="E233" s="88" t="n"/>
      <c r="F233" s="88" t="n"/>
      <c r="G233" s="88" t="n"/>
    </row>
    <row r="234">
      <c r="B234" s="88" t="n"/>
      <c r="C234" s="88" t="n"/>
      <c r="D234" s="88" t="n"/>
      <c r="E234" s="88" t="n"/>
      <c r="F234" s="88" t="n"/>
      <c r="G234" s="88" t="n"/>
    </row>
    <row r="235">
      <c r="B235" s="88" t="n"/>
      <c r="C235" s="88" t="n"/>
      <c r="D235" s="88" t="n"/>
      <c r="E235" s="88" t="n"/>
      <c r="F235" s="88" t="n"/>
      <c r="G235" s="88" t="n"/>
    </row>
    <row r="236">
      <c r="B236" s="88" t="n"/>
      <c r="C236" s="88" t="n"/>
      <c r="D236" s="88" t="n"/>
      <c r="E236" s="88" t="n"/>
      <c r="F236" s="88" t="n"/>
      <c r="G236" s="88" t="n"/>
    </row>
    <row r="237">
      <c r="B237" s="88" t="n"/>
      <c r="C237" s="88" t="n"/>
      <c r="D237" s="88" t="n"/>
      <c r="E237" s="88" t="n"/>
      <c r="F237" s="88" t="n"/>
      <c r="G237" s="88" t="n"/>
    </row>
    <row r="238">
      <c r="B238" s="88" t="n"/>
      <c r="C238" s="88" t="n"/>
      <c r="D238" s="88" t="n"/>
      <c r="E238" s="88" t="n"/>
      <c r="F238" s="88" t="n"/>
      <c r="G238" s="88" t="n"/>
    </row>
  </sheetData>
  <mergeCells count="1">
    <mergeCell ref="A1:F1"/>
  </mergeCells>
  <pageMargins left="0.7" right="0.7" top="0.75" bottom="0.75" header="0.3" footer="0.3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8"/>
  <sheetViews>
    <sheetView showGridLines="0" zoomScaleNormal="100" workbookViewId="0">
      <selection activeCell="A1" sqref="A1:F1"/>
    </sheetView>
  </sheetViews>
  <sheetFormatPr baseColWidth="8" defaultRowHeight="15"/>
  <cols>
    <col width="40.7109375" customWidth="1" style="57" min="1" max="1"/>
    <col width="13" customWidth="1" style="57" min="2" max="6"/>
  </cols>
  <sheetData>
    <row r="1" ht="21" customHeight="1" s="57">
      <c r="A1" s="43" t="inlineStr">
        <is>
          <t>HISTORICAL BALANCE SHEET</t>
        </is>
      </c>
    </row>
    <row r="3">
      <c r="A3" s="25" t="inlineStr">
        <is>
          <t>Particulars</t>
        </is>
      </c>
      <c r="B3" s="24" t="inlineStr">
        <is>
          <t>FY-4</t>
        </is>
      </c>
      <c r="C3" s="24" t="inlineStr">
        <is>
          <t>FY-3</t>
        </is>
      </c>
      <c r="D3" s="24" t="inlineStr">
        <is>
          <t>FY-2</t>
        </is>
      </c>
      <c r="E3" s="24" t="inlineStr">
        <is>
          <t>FY-1</t>
        </is>
      </c>
      <c r="F3" s="23" t="inlineStr">
        <is>
          <t>FY-0 (Latest)</t>
        </is>
      </c>
    </row>
    <row r="4">
      <c r="A4" s="12" t="inlineStr">
        <is>
          <t>As on Date</t>
        </is>
      </c>
      <c r="B4" s="26" t="n"/>
      <c r="C4" s="26" t="n"/>
      <c r="D4" s="26" t="n"/>
      <c r="E4" s="26" t="n"/>
      <c r="F4" s="26" t="n"/>
    </row>
    <row r="5">
      <c r="A5" s="17" t="n"/>
      <c r="B5" s="20" t="n"/>
      <c r="C5" s="20" t="n"/>
      <c r="D5" s="20" t="n"/>
      <c r="E5" s="20" t="n"/>
      <c r="F5" s="20" t="n"/>
    </row>
    <row r="6">
      <c r="A6" s="27" t="inlineStr">
        <is>
          <t>EQUITY AND LIABILITIES</t>
        </is>
      </c>
      <c r="B6" s="20" t="n"/>
      <c r="C6" s="20" t="n"/>
      <c r="D6" s="20" t="n"/>
      <c r="E6" s="20" t="n"/>
      <c r="F6" s="20" t="n"/>
    </row>
    <row r="7">
      <c r="A7" s="28" t="inlineStr">
        <is>
          <t>Shareholders' Funds</t>
        </is>
      </c>
      <c r="B7" s="20" t="n"/>
      <c r="C7" s="20" t="n"/>
      <c r="D7" s="20" t="n"/>
      <c r="E7" s="20" t="n"/>
      <c r="F7" s="20" t="n"/>
    </row>
    <row r="8">
      <c r="A8" s="17" t="inlineStr">
        <is>
          <t>Equity Share Capital</t>
        </is>
      </c>
      <c r="B8" s="89" t="n"/>
      <c r="C8" s="89" t="n"/>
      <c r="D8" s="89" t="n"/>
      <c r="E8" s="89" t="n"/>
      <c r="F8" s="89" t="n"/>
    </row>
    <row r="9">
      <c r="A9" s="17" t="inlineStr">
        <is>
          <t>Reserves and Surplus</t>
        </is>
      </c>
      <c r="B9" s="89" t="n"/>
      <c r="C9" s="89" t="n"/>
      <c r="D9" s="89" t="n"/>
      <c r="E9" s="89" t="n"/>
      <c r="F9" s="89" t="n"/>
    </row>
    <row r="10">
      <c r="A10" s="29" t="inlineStr">
        <is>
          <t>Total Shareholders' Funds</t>
        </is>
      </c>
      <c r="B10" s="91">
        <f>SUM(B8:B9)</f>
        <v/>
      </c>
      <c r="C10" s="91">
        <f>SUM(C8:C9)</f>
        <v/>
      </c>
      <c r="D10" s="91">
        <f>SUM(D8:D9)</f>
        <v/>
      </c>
      <c r="E10" s="91">
        <f>SUM(E8:E9)</f>
        <v/>
      </c>
      <c r="F10" s="92">
        <f>SUM(F8:F9)</f>
        <v/>
      </c>
    </row>
    <row r="11">
      <c r="A11" s="17" t="inlineStr">
        <is>
          <t>Preference Share Capital (if any)</t>
        </is>
      </c>
      <c r="B11" s="89" t="n"/>
      <c r="C11" s="89" t="n"/>
      <c r="D11" s="89" t="n"/>
      <c r="E11" s="89" t="n"/>
      <c r="F11" s="89" t="n"/>
    </row>
    <row r="12">
      <c r="A12" s="17" t="n"/>
      <c r="B12" s="86" t="n"/>
      <c r="C12" s="86" t="n"/>
      <c r="D12" s="86" t="n"/>
      <c r="E12" s="86" t="n"/>
      <c r="F12" s="86" t="n"/>
    </row>
    <row r="13">
      <c r="A13" s="28" t="inlineStr">
        <is>
          <t>Non-Current Liabilities</t>
        </is>
      </c>
      <c r="B13" s="86" t="n"/>
      <c r="C13" s="86" t="n"/>
      <c r="D13" s="86" t="n"/>
      <c r="E13" s="86" t="n"/>
      <c r="F13" s="86" t="n"/>
    </row>
    <row r="14">
      <c r="A14" s="17" t="inlineStr">
        <is>
          <t>Long-term Borrowings</t>
        </is>
      </c>
      <c r="B14" s="89" t="n"/>
      <c r="C14" s="89" t="n"/>
      <c r="D14" s="89" t="n"/>
      <c r="E14" s="89" t="n"/>
      <c r="F14" s="89" t="n"/>
    </row>
    <row r="15">
      <c r="A15" s="17" t="inlineStr">
        <is>
          <t>Deferred Tax Liabilities (Net)</t>
        </is>
      </c>
      <c r="B15" s="89" t="n"/>
      <c r="C15" s="89" t="n"/>
      <c r="D15" s="89" t="n"/>
      <c r="E15" s="89" t="n"/>
      <c r="F15" s="89" t="n"/>
    </row>
    <row r="16">
      <c r="A16" s="17" t="inlineStr">
        <is>
          <t>Other Non-Current Liabilities</t>
        </is>
      </c>
      <c r="B16" s="89" t="n"/>
      <c r="C16" s="89" t="n"/>
      <c r="D16" s="89" t="n"/>
      <c r="E16" s="89" t="n"/>
      <c r="F16" s="89" t="n"/>
    </row>
    <row r="17">
      <c r="A17" s="29" t="inlineStr">
        <is>
          <t>Total Non-Current Liabilities</t>
        </is>
      </c>
      <c r="B17" s="91">
        <f>SUM(B14:B16)</f>
        <v/>
      </c>
      <c r="C17" s="91">
        <f>SUM(C14:C16)</f>
        <v/>
      </c>
      <c r="D17" s="91">
        <f>SUM(D14:D16)</f>
        <v/>
      </c>
      <c r="E17" s="91">
        <f>SUM(E14:E16)</f>
        <v/>
      </c>
      <c r="F17" s="92">
        <f>SUM(F14:F16)</f>
        <v/>
      </c>
    </row>
    <row r="18">
      <c r="A18" s="17" t="n"/>
      <c r="B18" s="86" t="n"/>
      <c r="C18" s="86" t="n"/>
      <c r="D18" s="86" t="n"/>
      <c r="E18" s="86" t="n"/>
      <c r="F18" s="86" t="n"/>
    </row>
    <row r="19">
      <c r="A19" s="28" t="inlineStr">
        <is>
          <t>Current Liabilities</t>
        </is>
      </c>
      <c r="B19" s="86" t="n"/>
      <c r="C19" s="86" t="n"/>
      <c r="D19" s="86" t="n"/>
      <c r="E19" s="86" t="n"/>
      <c r="F19" s="86" t="n"/>
    </row>
    <row r="20">
      <c r="A20" s="17" t="inlineStr">
        <is>
          <t>Short-term Borrowings</t>
        </is>
      </c>
      <c r="B20" s="89" t="n"/>
      <c r="C20" s="89" t="n"/>
      <c r="D20" s="89" t="n"/>
      <c r="E20" s="89" t="n"/>
      <c r="F20" s="89" t="n"/>
    </row>
    <row r="21">
      <c r="A21" s="17" t="inlineStr">
        <is>
          <t>Trade Payables</t>
        </is>
      </c>
      <c r="B21" s="89" t="n"/>
      <c r="C21" s="89" t="n"/>
      <c r="D21" s="89" t="n"/>
      <c r="E21" s="89" t="n"/>
      <c r="F21" s="89" t="n"/>
    </row>
    <row r="22">
      <c r="A22" s="17" t="inlineStr">
        <is>
          <t>Other Current Liabilities</t>
        </is>
      </c>
      <c r="B22" s="89" t="n"/>
      <c r="C22" s="89" t="n"/>
      <c r="D22" s="89" t="n"/>
      <c r="E22" s="89" t="n"/>
      <c r="F22" s="89" t="n"/>
    </row>
    <row r="23">
      <c r="A23" s="17" t="inlineStr">
        <is>
          <t>Short-term Provisions</t>
        </is>
      </c>
      <c r="B23" s="89" t="n"/>
      <c r="C23" s="89" t="n"/>
      <c r="D23" s="89" t="n"/>
      <c r="E23" s="89" t="n"/>
      <c r="F23" s="89" t="n"/>
    </row>
    <row r="24">
      <c r="A24" s="29" t="inlineStr">
        <is>
          <t>Total Current Liabilities</t>
        </is>
      </c>
      <c r="B24" s="91">
        <f>SUM(B20:B23)</f>
        <v/>
      </c>
      <c r="C24" s="91">
        <f>SUM(C20:C23)</f>
        <v/>
      </c>
      <c r="D24" s="91">
        <f>SUM(D20:D23)</f>
        <v/>
      </c>
      <c r="E24" s="91">
        <f>SUM(E20:E23)</f>
        <v/>
      </c>
      <c r="F24" s="92">
        <f>SUM(F20:F23)</f>
        <v/>
      </c>
    </row>
    <row r="25">
      <c r="A25" s="17" t="n"/>
      <c r="B25" s="86" t="n"/>
      <c r="C25" s="86" t="n"/>
      <c r="D25" s="86" t="n"/>
      <c r="E25" s="86" t="n"/>
      <c r="F25" s="86" t="n"/>
    </row>
    <row r="26">
      <c r="A26" s="29" t="inlineStr">
        <is>
          <t>TOTAL EQUITY AND LIABILITIES</t>
        </is>
      </c>
      <c r="B26" s="91">
        <f>B24+B17+B10+B11</f>
        <v/>
      </c>
      <c r="C26" s="91">
        <f>C24+C17+C10+C11</f>
        <v/>
      </c>
      <c r="D26" s="91">
        <f>D24+D17+D10+D11</f>
        <v/>
      </c>
      <c r="E26" s="91">
        <f>E24+E17+E10+E11</f>
        <v/>
      </c>
      <c r="F26" s="92">
        <f>F24+F17+F10+F11</f>
        <v/>
      </c>
    </row>
    <row r="27">
      <c r="A27" s="17" t="n"/>
      <c r="B27" s="86" t="n"/>
      <c r="C27" s="86" t="n"/>
      <c r="D27" s="86" t="n"/>
      <c r="E27" s="86" t="n"/>
      <c r="F27" s="86" t="n"/>
    </row>
    <row r="28">
      <c r="A28" s="17" t="n"/>
      <c r="B28" s="86" t="n"/>
      <c r="C28" s="86" t="n"/>
      <c r="D28" s="86" t="n"/>
      <c r="E28" s="86" t="n"/>
      <c r="F28" s="86" t="n"/>
    </row>
    <row r="29">
      <c r="A29" s="27" t="inlineStr">
        <is>
          <t>ASSETS</t>
        </is>
      </c>
      <c r="B29" s="86" t="n"/>
      <c r="C29" s="86" t="n"/>
      <c r="D29" s="86" t="n"/>
      <c r="E29" s="86" t="n"/>
      <c r="F29" s="86" t="n"/>
    </row>
    <row r="30">
      <c r="A30" s="28" t="inlineStr">
        <is>
          <t>Non-Current Assets</t>
        </is>
      </c>
      <c r="B30" s="86" t="n"/>
      <c r="C30" s="86" t="n"/>
      <c r="D30" s="86" t="n"/>
      <c r="E30" s="86" t="n"/>
      <c r="F30" s="86" t="n"/>
    </row>
    <row r="31">
      <c r="A31" s="17" t="inlineStr">
        <is>
          <t>Property, Plant and Equipment (Net)</t>
        </is>
      </c>
      <c r="B31" s="89" t="n"/>
      <c r="C31" s="89" t="n"/>
      <c r="D31" s="89" t="n"/>
      <c r="E31" s="89" t="n"/>
      <c r="F31" s="89" t="n"/>
    </row>
    <row r="32">
      <c r="A32" s="17" t="inlineStr">
        <is>
          <t>Capital Work-in-Progress</t>
        </is>
      </c>
      <c r="B32" s="89" t="n"/>
      <c r="C32" s="89" t="n"/>
      <c r="D32" s="89" t="n"/>
      <c r="E32" s="89" t="n"/>
      <c r="F32" s="89" t="n"/>
    </row>
    <row r="33">
      <c r="A33" s="17" t="inlineStr">
        <is>
          <t>Intangible Assets</t>
        </is>
      </c>
      <c r="B33" s="89" t="n"/>
      <c r="C33" s="89" t="n"/>
      <c r="D33" s="89" t="n"/>
      <c r="E33" s="89" t="n"/>
      <c r="F33" s="89" t="n"/>
    </row>
    <row r="34">
      <c r="A34" s="17" t="inlineStr">
        <is>
          <t>Long-term Loans and Advances</t>
        </is>
      </c>
      <c r="B34" s="89" t="n"/>
      <c r="C34" s="89" t="n"/>
      <c r="D34" s="89" t="n"/>
      <c r="E34" s="89" t="n"/>
      <c r="F34" s="89" t="n"/>
    </row>
    <row r="35">
      <c r="A35" s="17" t="inlineStr">
        <is>
          <t>Other Non-Current Assets</t>
        </is>
      </c>
      <c r="B35" s="89" t="n"/>
      <c r="C35" s="89" t="n"/>
      <c r="D35" s="89" t="n"/>
      <c r="E35" s="89" t="n"/>
      <c r="F35" s="89" t="n"/>
    </row>
    <row r="36">
      <c r="A36" s="17" t="inlineStr">
        <is>
          <t>Non-Current Investments</t>
        </is>
      </c>
      <c r="B36" s="89" t="n"/>
      <c r="C36" s="89" t="n"/>
      <c r="D36" s="89" t="n"/>
      <c r="E36" s="89" t="n"/>
      <c r="F36" s="89" t="n"/>
    </row>
    <row r="37">
      <c r="A37" s="17" t="inlineStr">
        <is>
          <t>Deferred Tax Assets (Net)</t>
        </is>
      </c>
      <c r="B37" s="89" t="n"/>
      <c r="C37" s="89" t="n"/>
      <c r="D37" s="89" t="n"/>
      <c r="E37" s="89" t="n"/>
      <c r="F37" s="89" t="n"/>
    </row>
    <row r="38">
      <c r="A38" s="29" t="inlineStr">
        <is>
          <t>Total Non-Current Assets</t>
        </is>
      </c>
      <c r="B38" s="91">
        <f>SUM(B31:B37)</f>
        <v/>
      </c>
      <c r="C38" s="91">
        <f>SUM(C31:C37)</f>
        <v/>
      </c>
      <c r="D38" s="91">
        <f>SUM(D31:D37)</f>
        <v/>
      </c>
      <c r="E38" s="91">
        <f>SUM(E31:E37)</f>
        <v/>
      </c>
      <c r="F38" s="92">
        <f>SUM(F31:F37)</f>
        <v/>
      </c>
    </row>
    <row r="39">
      <c r="A39" s="17" t="n"/>
      <c r="B39" s="86" t="n"/>
      <c r="C39" s="86" t="n"/>
      <c r="D39" s="86" t="n"/>
      <c r="E39" s="86" t="n"/>
      <c r="F39" s="86" t="n"/>
    </row>
    <row r="40">
      <c r="A40" s="28" t="inlineStr">
        <is>
          <t>Current Assets</t>
        </is>
      </c>
      <c r="B40" s="86" t="n"/>
      <c r="C40" s="86" t="n"/>
      <c r="D40" s="86" t="n"/>
      <c r="E40" s="86" t="n"/>
      <c r="F40" s="86" t="n"/>
    </row>
    <row r="41">
      <c r="A41" s="17" t="inlineStr">
        <is>
          <t>Current Investments</t>
        </is>
      </c>
      <c r="B41" s="89" t="n"/>
      <c r="C41" s="89" t="n"/>
      <c r="D41" s="89" t="n"/>
      <c r="E41" s="89" t="n"/>
      <c r="F41" s="89" t="n"/>
    </row>
    <row r="42">
      <c r="A42" s="17" t="inlineStr">
        <is>
          <t>Inventories</t>
        </is>
      </c>
      <c r="B42" s="89" t="n"/>
      <c r="C42" s="89" t="n"/>
      <c r="D42" s="89" t="n"/>
      <c r="E42" s="89" t="n"/>
      <c r="F42" s="89" t="n"/>
    </row>
    <row r="43">
      <c r="A43" s="17" t="inlineStr">
        <is>
          <t>Trade Receivables</t>
        </is>
      </c>
      <c r="B43" s="89" t="n"/>
      <c r="C43" s="89" t="n"/>
      <c r="D43" s="89" t="n"/>
      <c r="E43" s="89" t="n"/>
      <c r="F43" s="89" t="n"/>
    </row>
    <row r="44">
      <c r="A44" s="17" t="inlineStr">
        <is>
          <t>Cash and Cash Equivalents</t>
        </is>
      </c>
      <c r="B44" s="89" t="n"/>
      <c r="C44" s="89" t="n"/>
      <c r="D44" s="89" t="n"/>
      <c r="E44" s="89" t="n"/>
      <c r="F44" s="89" t="n"/>
    </row>
    <row r="45">
      <c r="A45" s="17" t="inlineStr">
        <is>
          <t>Bank Balances (other than Cash &amp; Equiv.)</t>
        </is>
      </c>
      <c r="B45" s="89" t="n"/>
      <c r="C45" s="89" t="n"/>
      <c r="D45" s="89" t="n"/>
      <c r="E45" s="89" t="n"/>
      <c r="F45" s="89" t="n"/>
    </row>
    <row r="46">
      <c r="A46" s="17" t="inlineStr">
        <is>
          <t>Short-term Loans and Advances</t>
        </is>
      </c>
      <c r="B46" s="89" t="n"/>
      <c r="C46" s="89" t="n"/>
      <c r="D46" s="89" t="n"/>
      <c r="E46" s="89" t="n"/>
      <c r="F46" s="89" t="n"/>
    </row>
    <row r="47">
      <c r="A47" s="17" t="inlineStr">
        <is>
          <t>Other Current Assets</t>
        </is>
      </c>
      <c r="B47" s="89" t="n"/>
      <c r="C47" s="89" t="n"/>
      <c r="D47" s="89" t="n"/>
      <c r="E47" s="89" t="n"/>
      <c r="F47" s="89" t="n"/>
    </row>
    <row r="48">
      <c r="A48" s="29" t="inlineStr">
        <is>
          <t>Total Current Assets</t>
        </is>
      </c>
      <c r="B48" s="91">
        <f>SUM(B41:B47)</f>
        <v/>
      </c>
      <c r="C48" s="91">
        <f>SUM(C41:C47)</f>
        <v/>
      </c>
      <c r="D48" s="91">
        <f>SUM(D41:D47)</f>
        <v/>
      </c>
      <c r="E48" s="91">
        <f>SUM(E41:E47)</f>
        <v/>
      </c>
      <c r="F48" s="92">
        <f>SUM(F41:F47)</f>
        <v/>
      </c>
    </row>
    <row r="49">
      <c r="A49" s="17" t="n"/>
      <c r="B49" s="86" t="n"/>
      <c r="C49" s="86" t="n"/>
      <c r="D49" s="86" t="n"/>
      <c r="E49" s="86" t="n"/>
      <c r="F49" s="86" t="n"/>
    </row>
    <row r="50">
      <c r="A50" s="29" t="inlineStr">
        <is>
          <t>TOTAL ASSETS</t>
        </is>
      </c>
      <c r="B50" s="91">
        <f>B48+B38</f>
        <v/>
      </c>
      <c r="C50" s="91">
        <f>C48+C38</f>
        <v/>
      </c>
      <c r="D50" s="91">
        <f>D48+D38</f>
        <v/>
      </c>
      <c r="E50" s="91">
        <f>E48+E38</f>
        <v/>
      </c>
      <c r="F50" s="92">
        <f>F48+F38</f>
        <v/>
      </c>
    </row>
    <row r="51">
      <c r="B51" s="86" t="n"/>
      <c r="C51" s="86" t="n"/>
      <c r="D51" s="86" t="n"/>
      <c r="E51" s="86" t="n"/>
      <c r="F51" s="86" t="n"/>
    </row>
    <row r="52">
      <c r="A52" s="29" t="inlineStr">
        <is>
          <t>Tally Check (E&amp;L − Assets)</t>
        </is>
      </c>
      <c r="B52" s="91">
        <f>B26-B50</f>
        <v/>
      </c>
      <c r="C52" s="91">
        <f>C26-C50</f>
        <v/>
      </c>
      <c r="D52" s="91">
        <f>D26-D50</f>
        <v/>
      </c>
      <c r="E52" s="91">
        <f>E26-E50</f>
        <v/>
      </c>
      <c r="F52" s="92">
        <f>F26-F50</f>
        <v/>
      </c>
    </row>
    <row r="53">
      <c r="B53" s="88" t="n"/>
      <c r="C53" s="88" t="n"/>
      <c r="D53" s="88" t="n"/>
      <c r="E53" s="88" t="n"/>
      <c r="F53" s="88" t="n"/>
    </row>
    <row r="54">
      <c r="B54" s="88" t="n"/>
      <c r="C54" s="88" t="n"/>
      <c r="D54" s="88" t="n"/>
      <c r="E54" s="88" t="n"/>
      <c r="F54" s="88" t="n"/>
    </row>
    <row r="55">
      <c r="B55" s="88" t="n"/>
      <c r="C55" s="88" t="n"/>
      <c r="D55" s="88" t="n"/>
      <c r="E55" s="88" t="n"/>
      <c r="F55" s="88" t="n"/>
    </row>
    <row r="56">
      <c r="B56" s="88" t="n"/>
      <c r="C56" s="88" t="n"/>
      <c r="D56" s="88" t="n"/>
      <c r="E56" s="88" t="n"/>
      <c r="F56" s="88" t="n"/>
    </row>
    <row r="57">
      <c r="B57" s="88" t="n"/>
      <c r="C57" s="88" t="n"/>
      <c r="D57" s="88" t="n"/>
      <c r="E57" s="88" t="n"/>
      <c r="F57" s="88" t="n"/>
    </row>
    <row r="58">
      <c r="B58" s="88" t="n"/>
      <c r="C58" s="88" t="n"/>
      <c r="D58" s="88" t="n"/>
      <c r="E58" s="88" t="n"/>
      <c r="F58" s="88" t="n"/>
    </row>
    <row r="59">
      <c r="B59" s="88" t="n"/>
      <c r="C59" s="88" t="n"/>
      <c r="D59" s="88" t="n"/>
      <c r="E59" s="88" t="n"/>
      <c r="F59" s="88" t="n"/>
    </row>
    <row r="60">
      <c r="B60" s="88" t="n"/>
      <c r="C60" s="88" t="n"/>
      <c r="D60" s="88" t="n"/>
      <c r="E60" s="88" t="n"/>
      <c r="F60" s="88" t="n"/>
    </row>
    <row r="61">
      <c r="B61" s="88" t="n"/>
      <c r="C61" s="88" t="n"/>
      <c r="D61" s="88" t="n"/>
      <c r="E61" s="88" t="n"/>
      <c r="F61" s="88" t="n"/>
    </row>
    <row r="62">
      <c r="B62" s="88" t="n"/>
      <c r="C62" s="88" t="n"/>
      <c r="D62" s="88" t="n"/>
      <c r="E62" s="88" t="n"/>
      <c r="F62" s="88" t="n"/>
    </row>
    <row r="63">
      <c r="B63" s="88" t="n"/>
      <c r="C63" s="88" t="n"/>
      <c r="D63" s="88" t="n"/>
      <c r="E63" s="88" t="n"/>
      <c r="F63" s="88" t="n"/>
    </row>
    <row r="64">
      <c r="B64" s="88" t="n"/>
      <c r="C64" s="88" t="n"/>
      <c r="D64" s="88" t="n"/>
      <c r="E64" s="88" t="n"/>
      <c r="F64" s="88" t="n"/>
    </row>
    <row r="65">
      <c r="B65" s="88" t="n"/>
      <c r="C65" s="88" t="n"/>
      <c r="D65" s="88" t="n"/>
      <c r="E65" s="88" t="n"/>
      <c r="F65" s="88" t="n"/>
    </row>
    <row r="66">
      <c r="B66" s="88" t="n"/>
      <c r="C66" s="88" t="n"/>
      <c r="D66" s="88" t="n"/>
      <c r="E66" s="88" t="n"/>
      <c r="F66" s="88" t="n"/>
    </row>
    <row r="67">
      <c r="B67" s="88" t="n"/>
      <c r="C67" s="88" t="n"/>
      <c r="D67" s="88" t="n"/>
      <c r="E67" s="88" t="n"/>
      <c r="F67" s="88" t="n"/>
    </row>
    <row r="68">
      <c r="B68" s="88" t="n"/>
      <c r="C68" s="88" t="n"/>
      <c r="D68" s="88" t="n"/>
      <c r="E68" s="88" t="n"/>
      <c r="F68" s="88" t="n"/>
    </row>
    <row r="69">
      <c r="B69" s="88" t="n"/>
      <c r="C69" s="88" t="n"/>
      <c r="D69" s="88" t="n"/>
      <c r="E69" s="88" t="n"/>
      <c r="F69" s="88" t="n"/>
    </row>
    <row r="70">
      <c r="B70" s="88" t="n"/>
      <c r="C70" s="88" t="n"/>
      <c r="D70" s="88" t="n"/>
      <c r="E70" s="88" t="n"/>
      <c r="F70" s="88" t="n"/>
    </row>
    <row r="71">
      <c r="B71" s="88" t="n"/>
      <c r="C71" s="88" t="n"/>
      <c r="D71" s="88" t="n"/>
      <c r="E71" s="88" t="n"/>
      <c r="F71" s="88" t="n"/>
    </row>
    <row r="72">
      <c r="B72" s="88" t="n"/>
      <c r="C72" s="88" t="n"/>
      <c r="D72" s="88" t="n"/>
      <c r="E72" s="88" t="n"/>
      <c r="F72" s="88" t="n"/>
    </row>
    <row r="73">
      <c r="B73" s="88" t="n"/>
      <c r="C73" s="88" t="n"/>
      <c r="D73" s="88" t="n"/>
      <c r="E73" s="88" t="n"/>
      <c r="F73" s="88" t="n"/>
    </row>
    <row r="74">
      <c r="B74" s="88" t="n"/>
      <c r="C74" s="88" t="n"/>
      <c r="D74" s="88" t="n"/>
      <c r="E74" s="88" t="n"/>
      <c r="F74" s="88" t="n"/>
    </row>
    <row r="75">
      <c r="B75" s="88" t="n"/>
      <c r="C75" s="88" t="n"/>
      <c r="D75" s="88" t="n"/>
      <c r="E75" s="88" t="n"/>
      <c r="F75" s="88" t="n"/>
    </row>
    <row r="76">
      <c r="B76" s="88" t="n"/>
      <c r="C76" s="88" t="n"/>
      <c r="D76" s="88" t="n"/>
      <c r="E76" s="88" t="n"/>
      <c r="F76" s="88" t="n"/>
    </row>
    <row r="77">
      <c r="B77" s="88" t="n"/>
      <c r="C77" s="88" t="n"/>
      <c r="D77" s="88" t="n"/>
      <c r="E77" s="88" t="n"/>
      <c r="F77" s="88" t="n"/>
    </row>
    <row r="78">
      <c r="B78" s="88" t="n"/>
      <c r="C78" s="88" t="n"/>
      <c r="D78" s="88" t="n"/>
      <c r="E78" s="88" t="n"/>
      <c r="F78" s="88" t="n"/>
    </row>
    <row r="79">
      <c r="B79" s="88" t="n"/>
      <c r="C79" s="88" t="n"/>
      <c r="D79" s="88" t="n"/>
      <c r="E79" s="88" t="n"/>
      <c r="F79" s="88" t="n"/>
    </row>
    <row r="80">
      <c r="B80" s="88" t="n"/>
      <c r="C80" s="88" t="n"/>
      <c r="D80" s="88" t="n"/>
      <c r="E80" s="88" t="n"/>
      <c r="F80" s="88" t="n"/>
    </row>
    <row r="81">
      <c r="B81" s="88" t="n"/>
      <c r="C81" s="88" t="n"/>
      <c r="D81" s="88" t="n"/>
      <c r="E81" s="88" t="n"/>
      <c r="F81" s="88" t="n"/>
    </row>
    <row r="82">
      <c r="B82" s="88" t="n"/>
      <c r="C82" s="88" t="n"/>
      <c r="D82" s="88" t="n"/>
      <c r="E82" s="88" t="n"/>
      <c r="F82" s="88" t="n"/>
    </row>
    <row r="83">
      <c r="B83" s="88" t="n"/>
      <c r="C83" s="88" t="n"/>
      <c r="D83" s="88" t="n"/>
      <c r="E83" s="88" t="n"/>
      <c r="F83" s="88" t="n"/>
    </row>
    <row r="84">
      <c r="B84" s="88" t="n"/>
      <c r="C84" s="88" t="n"/>
      <c r="D84" s="88" t="n"/>
      <c r="E84" s="88" t="n"/>
      <c r="F84" s="88" t="n"/>
    </row>
    <row r="85">
      <c r="B85" s="88" t="n"/>
      <c r="C85" s="88" t="n"/>
      <c r="D85" s="88" t="n"/>
      <c r="E85" s="88" t="n"/>
      <c r="F85" s="88" t="n"/>
    </row>
    <row r="86">
      <c r="B86" s="88" t="n"/>
      <c r="C86" s="88" t="n"/>
      <c r="D86" s="88" t="n"/>
      <c r="E86" s="88" t="n"/>
      <c r="F86" s="88" t="n"/>
    </row>
    <row r="87">
      <c r="B87" s="88" t="n"/>
      <c r="C87" s="88" t="n"/>
      <c r="D87" s="88" t="n"/>
      <c r="E87" s="88" t="n"/>
      <c r="F87" s="88" t="n"/>
    </row>
    <row r="88">
      <c r="B88" s="88" t="n"/>
      <c r="C88" s="88" t="n"/>
      <c r="D88" s="88" t="n"/>
      <c r="E88" s="88" t="n"/>
      <c r="F88" s="88" t="n"/>
    </row>
    <row r="89">
      <c r="B89" s="88" t="n"/>
      <c r="C89" s="88" t="n"/>
      <c r="D89" s="88" t="n"/>
      <c r="E89" s="88" t="n"/>
      <c r="F89" s="88" t="n"/>
    </row>
    <row r="90">
      <c r="B90" s="88" t="n"/>
      <c r="C90" s="88" t="n"/>
      <c r="D90" s="88" t="n"/>
      <c r="E90" s="88" t="n"/>
      <c r="F90" s="88" t="n"/>
    </row>
    <row r="91">
      <c r="B91" s="88" t="n"/>
      <c r="C91" s="88" t="n"/>
      <c r="D91" s="88" t="n"/>
      <c r="E91" s="88" t="n"/>
      <c r="F91" s="88" t="n"/>
    </row>
    <row r="92">
      <c r="B92" s="88" t="n"/>
      <c r="C92" s="88" t="n"/>
      <c r="D92" s="88" t="n"/>
      <c r="E92" s="88" t="n"/>
      <c r="F92" s="88" t="n"/>
    </row>
    <row r="93">
      <c r="B93" s="88" t="n"/>
      <c r="C93" s="88" t="n"/>
      <c r="D93" s="88" t="n"/>
      <c r="E93" s="88" t="n"/>
      <c r="F93" s="88" t="n"/>
    </row>
    <row r="94">
      <c r="B94" s="88" t="n"/>
      <c r="C94" s="88" t="n"/>
      <c r="D94" s="88" t="n"/>
      <c r="E94" s="88" t="n"/>
      <c r="F94" s="88" t="n"/>
    </row>
    <row r="95">
      <c r="B95" s="88" t="n"/>
      <c r="C95" s="88" t="n"/>
      <c r="D95" s="88" t="n"/>
      <c r="E95" s="88" t="n"/>
      <c r="F95" s="88" t="n"/>
    </row>
    <row r="96">
      <c r="B96" s="88" t="n"/>
      <c r="C96" s="88" t="n"/>
      <c r="D96" s="88" t="n"/>
      <c r="E96" s="88" t="n"/>
      <c r="F96" s="88" t="n"/>
    </row>
    <row r="97">
      <c r="B97" s="88" t="n"/>
      <c r="C97" s="88" t="n"/>
      <c r="D97" s="88" t="n"/>
      <c r="E97" s="88" t="n"/>
      <c r="F97" s="88" t="n"/>
    </row>
    <row r="98">
      <c r="B98" s="88" t="n"/>
      <c r="C98" s="88" t="n"/>
      <c r="D98" s="88" t="n"/>
      <c r="E98" s="88" t="n"/>
      <c r="F98" s="88" t="n"/>
    </row>
    <row r="99">
      <c r="B99" s="88" t="n"/>
      <c r="C99" s="88" t="n"/>
      <c r="D99" s="88" t="n"/>
      <c r="E99" s="88" t="n"/>
      <c r="F99" s="88" t="n"/>
    </row>
    <row r="100">
      <c r="B100" s="88" t="n"/>
      <c r="C100" s="88" t="n"/>
      <c r="D100" s="88" t="n"/>
      <c r="E100" s="88" t="n"/>
      <c r="F100" s="88" t="n"/>
    </row>
    <row r="101">
      <c r="B101" s="88" t="n"/>
      <c r="C101" s="88" t="n"/>
      <c r="D101" s="88" t="n"/>
      <c r="E101" s="88" t="n"/>
      <c r="F101" s="88" t="n"/>
    </row>
    <row r="102">
      <c r="B102" s="88" t="n"/>
      <c r="C102" s="88" t="n"/>
      <c r="D102" s="88" t="n"/>
      <c r="E102" s="88" t="n"/>
      <c r="F102" s="88" t="n"/>
    </row>
    <row r="103">
      <c r="B103" s="88" t="n"/>
      <c r="C103" s="88" t="n"/>
      <c r="D103" s="88" t="n"/>
      <c r="E103" s="88" t="n"/>
      <c r="F103" s="88" t="n"/>
    </row>
    <row r="104">
      <c r="B104" s="88" t="n"/>
      <c r="C104" s="88" t="n"/>
      <c r="D104" s="88" t="n"/>
      <c r="E104" s="88" t="n"/>
      <c r="F104" s="88" t="n"/>
    </row>
    <row r="105">
      <c r="B105" s="88" t="n"/>
      <c r="C105" s="88" t="n"/>
      <c r="D105" s="88" t="n"/>
      <c r="E105" s="88" t="n"/>
      <c r="F105" s="88" t="n"/>
    </row>
    <row r="106">
      <c r="B106" s="88" t="n"/>
      <c r="C106" s="88" t="n"/>
      <c r="D106" s="88" t="n"/>
      <c r="E106" s="88" t="n"/>
      <c r="F106" s="88" t="n"/>
    </row>
    <row r="107">
      <c r="B107" s="88" t="n"/>
      <c r="C107" s="88" t="n"/>
      <c r="D107" s="88" t="n"/>
      <c r="E107" s="88" t="n"/>
      <c r="F107" s="88" t="n"/>
    </row>
    <row r="108">
      <c r="B108" s="88" t="n"/>
      <c r="C108" s="88" t="n"/>
      <c r="D108" s="88" t="n"/>
      <c r="E108" s="88" t="n"/>
      <c r="F108" s="88" t="n"/>
    </row>
  </sheetData>
  <mergeCells count="1">
    <mergeCell ref="A1:F1"/>
  </mergeCells>
  <conditionalFormatting sqref="A52:F52">
    <cfRule type="cellIs" priority="1" operator="equal" dxfId="0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selection activeCell="A1" sqref="A1:L1"/>
    </sheetView>
  </sheetViews>
  <sheetFormatPr baseColWidth="8" defaultRowHeight="15"/>
  <cols>
    <col width="55.28515625" bestFit="1" customWidth="1" style="57" min="1" max="1"/>
    <col width="13" customWidth="1" style="88" min="2" max="12"/>
  </cols>
  <sheetData>
    <row r="1" ht="21" customHeight="1" s="57">
      <c r="A1" s="43" t="inlineStr">
        <is>
          <t>FORECAST FINANCIALS (PROJECTIONS)</t>
        </is>
      </c>
    </row>
    <row r="3">
      <c r="A3" s="41" t="inlineStr">
        <is>
          <t>Particulars</t>
        </is>
      </c>
      <c r="B3" s="93" t="inlineStr">
        <is>
          <t>Stub</t>
        </is>
      </c>
      <c r="C3" s="93" t="inlineStr">
        <is>
          <t>FY+1</t>
        </is>
      </c>
      <c r="D3" s="93" t="inlineStr">
        <is>
          <t>FY+2</t>
        </is>
      </c>
      <c r="E3" s="93" t="inlineStr">
        <is>
          <t>FY+3</t>
        </is>
      </c>
      <c r="F3" s="93" t="inlineStr">
        <is>
          <t>FY+4</t>
        </is>
      </c>
      <c r="G3" s="93" t="inlineStr">
        <is>
          <t>FY+5</t>
        </is>
      </c>
      <c r="H3" s="93" t="inlineStr">
        <is>
          <t>FY+6</t>
        </is>
      </c>
      <c r="I3" s="93" t="inlineStr">
        <is>
          <t>FY+7</t>
        </is>
      </c>
      <c r="J3" s="93" t="inlineStr">
        <is>
          <t>FY+8</t>
        </is>
      </c>
      <c r="K3" s="93" t="inlineStr">
        <is>
          <t>FY+9</t>
        </is>
      </c>
      <c r="L3" s="93" t="inlineStr">
        <is>
          <t>FY+10</t>
        </is>
      </c>
    </row>
    <row r="4">
      <c r="A4" s="34" t="inlineStr">
        <is>
          <t>Year Ending Date</t>
        </is>
      </c>
      <c r="B4" s="94" t="n"/>
      <c r="C4" s="94" t="n"/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</row>
    <row r="5">
      <c r="B5" s="86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</row>
    <row r="6">
      <c r="A6" s="27" t="inlineStr">
        <is>
          <t>1. PROFIT &amp; LOSS FORECAST</t>
        </is>
      </c>
      <c r="B6" s="86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</row>
    <row r="7">
      <c r="A7" s="17" t="inlineStr">
        <is>
          <t>Revenue from Operations</t>
        </is>
      </c>
      <c r="B7" s="89" t="n"/>
      <c r="C7" s="89" t="n"/>
      <c r="D7" s="89" t="n"/>
      <c r="E7" s="89" t="n"/>
      <c r="F7" s="89" t="n"/>
      <c r="G7" s="89" t="n"/>
      <c r="H7" s="89" t="n"/>
      <c r="I7" s="89" t="n"/>
      <c r="J7" s="89" t="n"/>
      <c r="K7" s="89" t="n"/>
      <c r="L7" s="89" t="n"/>
    </row>
    <row r="8">
      <c r="A8" s="17" t="inlineStr">
        <is>
          <t>Other Income</t>
        </is>
      </c>
      <c r="B8" s="89" t="n"/>
      <c r="C8" s="89" t="n"/>
      <c r="D8" s="89" t="n"/>
      <c r="E8" s="89" t="n"/>
      <c r="F8" s="89" t="n"/>
      <c r="G8" s="89" t="n"/>
      <c r="H8" s="89" t="n"/>
      <c r="I8" s="89" t="n"/>
      <c r="J8" s="89" t="n"/>
      <c r="K8" s="89" t="n"/>
      <c r="L8" s="89" t="n"/>
    </row>
    <row r="9">
      <c r="A9" s="29" t="inlineStr">
        <is>
          <t>Total Revenue</t>
        </is>
      </c>
      <c r="B9" s="91">
        <f>SUM(B7:B8)</f>
        <v/>
      </c>
      <c r="C9" s="91">
        <f>SUM(C7:C8)</f>
        <v/>
      </c>
      <c r="D9" s="91">
        <f>SUM(D7:D8)</f>
        <v/>
      </c>
      <c r="E9" s="91">
        <f>SUM(E7:E8)</f>
        <v/>
      </c>
      <c r="F9" s="91">
        <f>SUM(F7:F8)</f>
        <v/>
      </c>
      <c r="G9" s="91">
        <f>SUM(G7:G8)</f>
        <v/>
      </c>
      <c r="H9" s="91">
        <f>SUM(H7:H8)</f>
        <v/>
      </c>
      <c r="I9" s="91">
        <f>SUM(I7:I8)</f>
        <v/>
      </c>
      <c r="J9" s="91">
        <f>SUM(J7:J8)</f>
        <v/>
      </c>
      <c r="K9" s="91">
        <f>SUM(K7:K8)</f>
        <v/>
      </c>
      <c r="L9" s="91">
        <f>SUM(L7:L8)</f>
        <v/>
      </c>
    </row>
    <row r="10">
      <c r="A10" s="17" t="n"/>
      <c r="B10" s="86" t="n"/>
      <c r="C10" s="86" t="n"/>
      <c r="D10" s="86" t="n"/>
      <c r="E10" s="86" t="n"/>
      <c r="F10" s="86" t="n"/>
      <c r="G10" s="86" t="n"/>
      <c r="H10" s="86" t="n"/>
      <c r="I10" s="86" t="n"/>
      <c r="J10" s="86" t="n"/>
      <c r="K10" s="86" t="n"/>
      <c r="L10" s="86" t="n"/>
    </row>
    <row r="11">
      <c r="A11" s="17" t="inlineStr">
        <is>
          <t>Cost of Goods Sold / Variable Cost</t>
        </is>
      </c>
      <c r="B11" s="89" t="n"/>
      <c r="C11" s="89" t="n"/>
      <c r="D11" s="89" t="n"/>
      <c r="E11" s="89" t="n"/>
      <c r="F11" s="89" t="n"/>
      <c r="G11" s="89" t="n"/>
      <c r="H11" s="89" t="n"/>
      <c r="I11" s="89" t="n"/>
      <c r="J11" s="89" t="n"/>
      <c r="K11" s="89" t="n"/>
      <c r="L11" s="89" t="n"/>
    </row>
    <row r="12">
      <c r="A12" s="17" t="inlineStr">
        <is>
          <t>Employee Benefits Expense</t>
        </is>
      </c>
      <c r="B12" s="89" t="n"/>
      <c r="C12" s="89" t="n"/>
      <c r="D12" s="89" t="n"/>
      <c r="E12" s="89" t="n"/>
      <c r="F12" s="89" t="n"/>
      <c r="G12" s="89" t="n"/>
      <c r="H12" s="89" t="n"/>
      <c r="I12" s="89" t="n"/>
      <c r="J12" s="89" t="n"/>
      <c r="K12" s="89" t="n"/>
      <c r="L12" s="89" t="n"/>
    </row>
    <row r="13">
      <c r="A13" s="17" t="inlineStr">
        <is>
          <t>Other Operating Expenses</t>
        </is>
      </c>
      <c r="B13" s="89" t="n"/>
      <c r="C13" s="89" t="n"/>
      <c r="D13" s="89" t="n"/>
      <c r="E13" s="89" t="n"/>
      <c r="F13" s="89" t="n"/>
      <c r="G13" s="89" t="n"/>
      <c r="H13" s="89" t="n"/>
      <c r="I13" s="89" t="n"/>
      <c r="J13" s="89" t="n"/>
      <c r="K13" s="89" t="n"/>
      <c r="L13" s="89" t="n"/>
    </row>
    <row r="14">
      <c r="A14" s="29" t="inlineStr">
        <is>
          <t>Total Operating Costs</t>
        </is>
      </c>
      <c r="B14" s="91">
        <f>SUM(B11:B13)</f>
        <v/>
      </c>
      <c r="C14" s="91">
        <f>SUM(C11:C13)</f>
        <v/>
      </c>
      <c r="D14" s="91">
        <f>SUM(D11:D13)</f>
        <v/>
      </c>
      <c r="E14" s="91">
        <f>SUM(E11:E13)</f>
        <v/>
      </c>
      <c r="F14" s="91">
        <f>SUM(F11:F13)</f>
        <v/>
      </c>
      <c r="G14" s="91">
        <f>SUM(G11:G13)</f>
        <v/>
      </c>
      <c r="H14" s="91">
        <f>SUM(H11:H13)</f>
        <v/>
      </c>
      <c r="I14" s="91">
        <f>SUM(I11:I13)</f>
        <v/>
      </c>
      <c r="J14" s="91">
        <f>SUM(J11:J13)</f>
        <v/>
      </c>
      <c r="K14" s="91">
        <f>SUM(K11:K13)</f>
        <v/>
      </c>
      <c r="L14" s="91">
        <f>SUM(L11:L13)</f>
        <v/>
      </c>
    </row>
    <row r="15">
      <c r="A15" s="17" t="n"/>
      <c r="B15" s="86" t="n"/>
      <c r="C15" s="86" t="n"/>
      <c r="D15" s="86" t="n"/>
      <c r="E15" s="86" t="n"/>
      <c r="F15" s="86" t="n"/>
      <c r="G15" s="86" t="n"/>
      <c r="H15" s="86" t="n"/>
      <c r="I15" s="86" t="n"/>
      <c r="J15" s="86" t="n"/>
      <c r="K15" s="86" t="n"/>
      <c r="L15" s="86" t="n"/>
    </row>
    <row r="16">
      <c r="A16" s="29" t="inlineStr">
        <is>
          <t>EBITDA</t>
        </is>
      </c>
      <c r="B16" s="91">
        <f>B9-B14</f>
        <v/>
      </c>
      <c r="C16" s="91">
        <f>C9-C14</f>
        <v/>
      </c>
      <c r="D16" s="91">
        <f>D9-D14</f>
        <v/>
      </c>
      <c r="E16" s="91">
        <f>E9-E14</f>
        <v/>
      </c>
      <c r="F16" s="91">
        <f>F9-F14</f>
        <v/>
      </c>
      <c r="G16" s="91">
        <f>G9-G14</f>
        <v/>
      </c>
      <c r="H16" s="91">
        <f>H9-H14</f>
        <v/>
      </c>
      <c r="I16" s="91">
        <f>I9-I14</f>
        <v/>
      </c>
      <c r="J16" s="91">
        <f>J9-J14</f>
        <v/>
      </c>
      <c r="K16" s="91">
        <f>K9-K14</f>
        <v/>
      </c>
      <c r="L16" s="91">
        <f>L9-L14</f>
        <v/>
      </c>
    </row>
    <row r="17">
      <c r="A17" s="17" t="inlineStr">
        <is>
          <t>Depreciation and Amortisation</t>
        </is>
      </c>
      <c r="B17" s="89" t="n"/>
      <c r="C17" s="89" t="n"/>
      <c r="D17" s="89" t="n"/>
      <c r="E17" s="89" t="n"/>
      <c r="F17" s="89" t="n"/>
      <c r="G17" s="89" t="n"/>
      <c r="H17" s="89" t="n"/>
      <c r="I17" s="89" t="n"/>
      <c r="J17" s="89" t="n"/>
      <c r="K17" s="89" t="n"/>
      <c r="L17" s="89" t="n"/>
    </row>
    <row r="18">
      <c r="A18" s="29" t="inlineStr">
        <is>
          <t>EBIT</t>
        </is>
      </c>
      <c r="B18" s="91">
        <f>B16-B17</f>
        <v/>
      </c>
      <c r="C18" s="91">
        <f>C16-C17</f>
        <v/>
      </c>
      <c r="D18" s="91">
        <f>D16-D17</f>
        <v/>
      </c>
      <c r="E18" s="91">
        <f>E16-E17</f>
        <v/>
      </c>
      <c r="F18" s="91">
        <f>F16-F17</f>
        <v/>
      </c>
      <c r="G18" s="91">
        <f>G16-G17</f>
        <v/>
      </c>
      <c r="H18" s="91">
        <f>H16-H17</f>
        <v/>
      </c>
      <c r="I18" s="91">
        <f>I16-I17</f>
        <v/>
      </c>
      <c r="J18" s="91">
        <f>J16-J17</f>
        <v/>
      </c>
      <c r="K18" s="91">
        <f>K16-K17</f>
        <v/>
      </c>
      <c r="L18" s="91">
        <f>L16-L17</f>
        <v/>
      </c>
    </row>
    <row r="19">
      <c r="A19" s="17" t="n"/>
      <c r="B19" s="86" t="n"/>
      <c r="C19" s="86" t="n"/>
      <c r="D19" s="86" t="n"/>
      <c r="E19" s="86" t="n"/>
      <c r="F19" s="86" t="n"/>
      <c r="G19" s="86" t="n"/>
      <c r="H19" s="86" t="n"/>
      <c r="I19" s="86" t="n"/>
      <c r="J19" s="86" t="n"/>
      <c r="K19" s="86" t="n"/>
      <c r="L19" s="86" t="n"/>
    </row>
    <row r="20">
      <c r="A20" s="27" t="inlineStr">
        <is>
          <t>2. TAX COMPUTATION</t>
        </is>
      </c>
      <c r="B20" s="86" t="n"/>
      <c r="C20" s="86" t="n"/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</row>
    <row r="21">
      <c r="A21" t="inlineStr">
        <is>
          <t>Effective Tax Rate (%)</t>
        </is>
      </c>
      <c r="B21" s="95" t="n">
        <v>25.168</v>
      </c>
      <c r="C21" s="95" t="n">
        <v>25.168</v>
      </c>
      <c r="D21" s="95" t="n">
        <v>25.168</v>
      </c>
      <c r="E21" s="95" t="n">
        <v>25.168</v>
      </c>
      <c r="F21" s="95" t="n">
        <v>25.168</v>
      </c>
      <c r="G21" s="95" t="n">
        <v>25.168</v>
      </c>
      <c r="H21" s="95" t="n">
        <v>25.168</v>
      </c>
      <c r="I21" s="95" t="n">
        <v>25.168</v>
      </c>
      <c r="J21" s="95" t="n">
        <v>25.168</v>
      </c>
      <c r="K21" s="95" t="n">
        <v>25.168</v>
      </c>
      <c r="L21" s="95" t="n">
        <v>25.168</v>
      </c>
    </row>
    <row r="22">
      <c r="A22" t="inlineStr">
        <is>
          <t>Tax on EBIT</t>
        </is>
      </c>
      <c r="B22" s="96">
        <f>B18*B21/100</f>
        <v/>
      </c>
      <c r="C22" s="96">
        <f>C18*C21/100</f>
        <v/>
      </c>
      <c r="D22" s="96">
        <f>D18*D21/100</f>
        <v/>
      </c>
      <c r="E22" s="96">
        <f>E18*E21/100</f>
        <v/>
      </c>
      <c r="F22" s="96">
        <f>F18*F21/100</f>
        <v/>
      </c>
      <c r="G22" s="96">
        <f>G18*G21/100</f>
        <v/>
      </c>
      <c r="H22" s="96">
        <f>H18*H21/100</f>
        <v/>
      </c>
      <c r="I22" s="96">
        <f>I18*I21/100</f>
        <v/>
      </c>
      <c r="J22" s="96">
        <f>J18*J21/100</f>
        <v/>
      </c>
      <c r="K22" s="96">
        <f>K18*K21/100</f>
        <v/>
      </c>
      <c r="L22" s="96">
        <f>L18*L21/100</f>
        <v/>
      </c>
    </row>
    <row r="23" customFormat="1" s="38">
      <c r="A23" s="38" t="inlineStr">
        <is>
          <t>NOPAT (EBIT × (1 - Tax))</t>
        </is>
      </c>
      <c r="B23" s="96">
        <f>B18-B22</f>
        <v/>
      </c>
      <c r="C23" s="96">
        <f>C18-C22</f>
        <v/>
      </c>
      <c r="D23" s="96">
        <f>D18-D22</f>
        <v/>
      </c>
      <c r="E23" s="96">
        <f>E18-E22</f>
        <v/>
      </c>
      <c r="F23" s="96">
        <f>F18-F22</f>
        <v/>
      </c>
      <c r="G23" s="96">
        <f>G18-G22</f>
        <v/>
      </c>
      <c r="H23" s="96">
        <f>H18-H22</f>
        <v/>
      </c>
      <c r="I23" s="96">
        <f>I18-I22</f>
        <v/>
      </c>
      <c r="J23" s="96">
        <f>J18-J22</f>
        <v/>
      </c>
      <c r="K23" s="96">
        <f>K18-K22</f>
        <v/>
      </c>
      <c r="L23" s="96">
        <f>L18-L22</f>
        <v/>
      </c>
    </row>
    <row r="24">
      <c r="B24" s="86" t="n"/>
      <c r="C24" s="86" t="n"/>
      <c r="D24" s="86" t="n"/>
      <c r="E24" s="86" t="n"/>
      <c r="F24" s="86" t="n"/>
      <c r="G24" s="86" t="n"/>
      <c r="H24" s="86" t="n"/>
      <c r="I24" s="86" t="n"/>
      <c r="J24" s="86" t="n"/>
      <c r="K24" s="86" t="n"/>
      <c r="L24" s="86" t="n"/>
    </row>
    <row r="25">
      <c r="A25" s="27" t="inlineStr">
        <is>
          <t>3. WORKING CAPITAL &amp; CAPEX</t>
        </is>
      </c>
      <c r="B25" s="86" t="n"/>
      <c r="C25" s="86" t="n"/>
      <c r="D25" s="86" t="n"/>
      <c r="E25" s="86" t="n"/>
      <c r="F25" s="86" t="n"/>
      <c r="G25" s="86" t="n"/>
      <c r="H25" s="86" t="n"/>
      <c r="I25" s="86" t="n"/>
      <c r="J25" s="86" t="n"/>
      <c r="K25" s="86" t="n"/>
      <c r="L25" s="86" t="n"/>
    </row>
    <row r="26">
      <c r="A26" t="inlineStr">
        <is>
          <t>Change in Net Working Capital (negative = increase in NWC)</t>
        </is>
      </c>
      <c r="B26" s="89" t="n"/>
      <c r="C26" s="89" t="n"/>
      <c r="D26" s="89" t="n"/>
      <c r="E26" s="89" t="n"/>
      <c r="F26" s="89" t="n"/>
      <c r="G26" s="89" t="n"/>
      <c r="H26" s="89" t="n"/>
      <c r="I26" s="89" t="n"/>
      <c r="J26" s="89" t="n"/>
      <c r="K26" s="89" t="n"/>
      <c r="L26" s="89" t="n"/>
    </row>
    <row r="27">
      <c r="A27" t="inlineStr">
        <is>
          <t>Capital Expenditure (enter as negative)</t>
        </is>
      </c>
      <c r="B27" s="89" t="n"/>
      <c r="C27" s="89" t="n"/>
      <c r="D27" s="89" t="n"/>
      <c r="E27" s="89" t="n"/>
      <c r="F27" s="89" t="n"/>
      <c r="G27" s="89" t="n"/>
      <c r="H27" s="89" t="n"/>
      <c r="I27" s="89" t="n"/>
      <c r="J27" s="89" t="n"/>
      <c r="K27" s="89" t="n"/>
      <c r="L27" s="89" t="n"/>
    </row>
    <row r="28">
      <c r="B28" s="86" t="n"/>
      <c r="C28" s="86" t="n"/>
      <c r="D28" s="86" t="n"/>
      <c r="E28" s="86" t="n"/>
      <c r="F28" s="86" t="n"/>
      <c r="G28" s="86" t="n"/>
      <c r="H28" s="86" t="n"/>
      <c r="I28" s="86" t="n"/>
      <c r="J28" s="86" t="n"/>
      <c r="K28" s="86" t="n"/>
      <c r="L28" s="86" t="n"/>
    </row>
    <row r="29">
      <c r="A29" s="27" t="inlineStr">
        <is>
          <t>DEBT &amp; QUASI-DEBT SCHEDULE</t>
        </is>
      </c>
      <c r="B29" s="86" t="n"/>
      <c r="C29" s="86" t="n"/>
      <c r="D29" s="86" t="n"/>
      <c r="E29" s="86" t="n"/>
      <c r="F29" s="86" t="n"/>
      <c r="G29" s="86" t="n"/>
      <c r="H29" s="86" t="n"/>
      <c r="I29" s="86" t="n"/>
      <c r="J29" s="86" t="n"/>
      <c r="K29" s="86" t="n"/>
      <c r="L29" s="86" t="n"/>
    </row>
    <row r="30">
      <c r="A30" t="inlineStr">
        <is>
          <t>Opening Debt Balance</t>
        </is>
      </c>
      <c r="B30" s="96" t="n">
        <v>0</v>
      </c>
      <c r="C30" s="96">
        <f>B33</f>
        <v/>
      </c>
      <c r="D30" s="96">
        <f>C33</f>
        <v/>
      </c>
      <c r="E30" s="96">
        <f>D33</f>
        <v/>
      </c>
      <c r="F30" s="96">
        <f>E33</f>
        <v/>
      </c>
      <c r="G30" s="96">
        <f>F33</f>
        <v/>
      </c>
      <c r="H30" s="96">
        <f>G33</f>
        <v/>
      </c>
      <c r="I30" s="96">
        <f>H33</f>
        <v/>
      </c>
      <c r="J30" s="96">
        <f>I33</f>
        <v/>
      </c>
      <c r="K30" s="96">
        <f>J33</f>
        <v/>
      </c>
      <c r="L30" s="96">
        <f>K33</f>
        <v/>
      </c>
    </row>
    <row r="31">
      <c r="A31" t="inlineStr">
        <is>
          <t>New Debt Drawn</t>
        </is>
      </c>
      <c r="B31" s="89" t="n"/>
      <c r="C31" s="89" t="n"/>
      <c r="D31" s="89" t="n"/>
      <c r="E31" s="89" t="n"/>
      <c r="F31" s="89" t="n"/>
      <c r="G31" s="89" t="n"/>
      <c r="H31" s="89" t="n"/>
      <c r="I31" s="89" t="n"/>
      <c r="J31" s="89" t="n"/>
      <c r="K31" s="89" t="n"/>
      <c r="L31" s="89" t="n"/>
    </row>
    <row r="32">
      <c r="A32" t="inlineStr">
        <is>
          <t>Principal Repayment (enter as negative)</t>
        </is>
      </c>
      <c r="B32" s="89" t="n"/>
      <c r="C32" s="89" t="n"/>
      <c r="D32" s="89" t="n"/>
      <c r="E32" s="89" t="n"/>
      <c r="F32" s="89" t="n"/>
      <c r="G32" s="89" t="n"/>
      <c r="H32" s="89" t="n"/>
      <c r="I32" s="89" t="n"/>
      <c r="J32" s="89" t="n"/>
      <c r="K32" s="89" t="n"/>
      <c r="L32" s="89" t="n"/>
    </row>
    <row r="33" customFormat="1" s="38">
      <c r="A33" s="38" t="inlineStr">
        <is>
          <t>Closing Debt Balance</t>
        </is>
      </c>
      <c r="B33" s="96">
        <f>SUM(B30:B32)</f>
        <v/>
      </c>
      <c r="C33" s="96">
        <f>SUM(C30:C32)</f>
        <v/>
      </c>
      <c r="D33" s="96">
        <f>SUM(D30:D32)</f>
        <v/>
      </c>
      <c r="E33" s="96">
        <f>SUM(E30:E32)</f>
        <v/>
      </c>
      <c r="F33" s="96">
        <f>SUM(F30:F32)</f>
        <v/>
      </c>
      <c r="G33" s="96">
        <f>SUM(G30:G32)</f>
        <v/>
      </c>
      <c r="H33" s="96">
        <f>SUM(H30:H32)</f>
        <v/>
      </c>
      <c r="I33" s="96">
        <f>SUM(I30:I32)</f>
        <v/>
      </c>
      <c r="J33" s="96">
        <f>SUM(J30:J32)</f>
        <v/>
      </c>
      <c r="K33" s="96">
        <f>SUM(K30:K32)</f>
        <v/>
      </c>
      <c r="L33" s="96">
        <f>SUM(L30:L32)</f>
        <v/>
      </c>
    </row>
    <row r="34">
      <c r="B34" s="86" t="n"/>
      <c r="C34" s="86" t="n"/>
      <c r="D34" s="86" t="n"/>
      <c r="E34" s="86" t="n"/>
      <c r="F34" s="86" t="n"/>
      <c r="G34" s="86" t="n"/>
      <c r="H34" s="86" t="n"/>
      <c r="I34" s="86" t="n"/>
      <c r="J34" s="86" t="n"/>
      <c r="K34" s="86" t="n"/>
      <c r="L34" s="86" t="n"/>
    </row>
    <row r="35">
      <c r="A35" t="inlineStr">
        <is>
          <t>Interest Rate on Debt (%)</t>
        </is>
      </c>
      <c r="B35" s="97" t="n"/>
      <c r="C35" s="97" t="n"/>
      <c r="D35" s="97" t="n"/>
      <c r="E35" s="97" t="n"/>
      <c r="F35" s="97" t="n"/>
      <c r="G35" s="97" t="n"/>
      <c r="H35" s="97" t="n"/>
      <c r="I35" s="97" t="n"/>
      <c r="J35" s="97" t="n"/>
      <c r="K35" s="97" t="n"/>
      <c r="L35" s="97" t="n"/>
    </row>
    <row r="36">
      <c r="A36" t="inlineStr">
        <is>
          <t>Interest Expense</t>
        </is>
      </c>
      <c r="B36" s="98">
        <f>(B30+B33)/2*B35/100</f>
        <v/>
      </c>
      <c r="C36" s="98">
        <f>(C30+C33)/2*C35/100</f>
        <v/>
      </c>
      <c r="D36" s="98">
        <f>(D30+D33)/2*D35/100</f>
        <v/>
      </c>
      <c r="E36" s="98">
        <f>(E30+E33)/2*E35/100</f>
        <v/>
      </c>
      <c r="F36" s="98">
        <f>(F30+F33)/2*F35/100</f>
        <v/>
      </c>
      <c r="G36" s="98">
        <f>(G30+G33)/2*G35/100</f>
        <v/>
      </c>
      <c r="H36" s="98">
        <f>(H30+H33)/2*H35/100</f>
        <v/>
      </c>
      <c r="I36" s="98">
        <f>(I30+I33)/2*I35/100</f>
        <v/>
      </c>
      <c r="J36" s="98">
        <f>(J30+J33)/2*J35/100</f>
        <v/>
      </c>
      <c r="K36" s="98">
        <f>(K30+K33)/2*K35/100</f>
        <v/>
      </c>
      <c r="L36" s="98">
        <f>(L30+L33)/2*L35/100</f>
        <v/>
      </c>
    </row>
    <row r="37">
      <c r="B37" s="86" t="n"/>
      <c r="C37" s="86" t="n"/>
      <c r="D37" s="86" t="n"/>
      <c r="E37" s="86" t="n"/>
      <c r="F37" s="86" t="n"/>
      <c r="G37" s="86" t="n"/>
      <c r="H37" s="86" t="n"/>
      <c r="I37" s="86" t="n"/>
      <c r="J37" s="86" t="n"/>
      <c r="K37" s="86" t="n"/>
      <c r="L37" s="86" t="n"/>
    </row>
    <row r="38">
      <c r="A38" s="27" t="inlineStr">
        <is>
          <t>5. FREE CASH FLOW BUILD-UP (FCFF &amp; FCFE)</t>
        </is>
      </c>
      <c r="B38" s="86" t="n"/>
      <c r="C38" s="86" t="n"/>
      <c r="D38" s="86" t="n"/>
      <c r="E38" s="86" t="n"/>
      <c r="F38" s="86" t="n"/>
      <c r="G38" s="86" t="n"/>
      <c r="H38" s="86" t="n"/>
      <c r="I38" s="86" t="n"/>
      <c r="J38" s="86" t="n"/>
      <c r="K38" s="86" t="n"/>
      <c r="L38" s="86" t="n"/>
    </row>
    <row r="39">
      <c r="A39" t="inlineStr">
        <is>
          <t>FCFF Build-up:</t>
        </is>
      </c>
      <c r="B39" s="86" t="n"/>
      <c r="C39" s="86" t="n"/>
      <c r="D39" s="86" t="n"/>
      <c r="E39" s="86" t="n"/>
      <c r="F39" s="86" t="n"/>
      <c r="G39" s="86" t="n"/>
      <c r="H39" s="86" t="n"/>
      <c r="I39" s="86" t="n"/>
      <c r="J39" s="86" t="n"/>
      <c r="K39" s="86" t="n"/>
      <c r="L39" s="86" t="n"/>
    </row>
    <row r="40">
      <c r="A40" t="inlineStr">
        <is>
          <t>NOPAT (from Section 2)</t>
        </is>
      </c>
      <c r="B40" s="96">
        <f>B23</f>
        <v/>
      </c>
      <c r="C40" s="96">
        <f>C23</f>
        <v/>
      </c>
      <c r="D40" s="96">
        <f>D23</f>
        <v/>
      </c>
      <c r="E40" s="96">
        <f>E23</f>
        <v/>
      </c>
      <c r="F40" s="96">
        <f>F23</f>
        <v/>
      </c>
      <c r="G40" s="96">
        <f>G23</f>
        <v/>
      </c>
      <c r="H40" s="96">
        <f>H23</f>
        <v/>
      </c>
      <c r="I40" s="96">
        <f>I23</f>
        <v/>
      </c>
      <c r="J40" s="96">
        <f>J23</f>
        <v/>
      </c>
      <c r="K40" s="96">
        <f>K23</f>
        <v/>
      </c>
      <c r="L40" s="96">
        <f>L23</f>
        <v/>
      </c>
    </row>
    <row r="41">
      <c r="A41" t="inlineStr">
        <is>
          <t>Add: Depreciation &amp; Amortisation</t>
        </is>
      </c>
      <c r="B41" s="96">
        <f>B17</f>
        <v/>
      </c>
      <c r="C41" s="96">
        <f>C17</f>
        <v/>
      </c>
      <c r="D41" s="96">
        <f>D17</f>
        <v/>
      </c>
      <c r="E41" s="96">
        <f>E17</f>
        <v/>
      </c>
      <c r="F41" s="96">
        <f>F17</f>
        <v/>
      </c>
      <c r="G41" s="96">
        <f>G17</f>
        <v/>
      </c>
      <c r="H41" s="96">
        <f>H17</f>
        <v/>
      </c>
      <c r="I41" s="96">
        <f>I17</f>
        <v/>
      </c>
      <c r="J41" s="96">
        <f>J17</f>
        <v/>
      </c>
      <c r="K41" s="96">
        <f>K17</f>
        <v/>
      </c>
      <c r="L41" s="96">
        <f>L17</f>
        <v/>
      </c>
    </row>
    <row r="42">
      <c r="A42" t="inlineStr">
        <is>
          <t>Add/Less: Change in Working Capital</t>
        </is>
      </c>
      <c r="B42" s="96">
        <f>B26</f>
        <v/>
      </c>
      <c r="C42" s="96">
        <f>C26</f>
        <v/>
      </c>
      <c r="D42" s="96">
        <f>D26</f>
        <v/>
      </c>
      <c r="E42" s="96">
        <f>E26</f>
        <v/>
      </c>
      <c r="F42" s="96">
        <f>F26</f>
        <v/>
      </c>
      <c r="G42" s="96">
        <f>G26</f>
        <v/>
      </c>
      <c r="H42" s="96">
        <f>H26</f>
        <v/>
      </c>
      <c r="I42" s="96">
        <f>I26</f>
        <v/>
      </c>
      <c r="J42" s="96">
        <f>J26</f>
        <v/>
      </c>
      <c r="K42" s="96">
        <f>K26</f>
        <v/>
      </c>
      <c r="L42" s="96">
        <f>L26</f>
        <v/>
      </c>
    </row>
    <row r="43">
      <c r="A43" t="inlineStr">
        <is>
          <t>Less: Capital Expenditure</t>
        </is>
      </c>
      <c r="B43" s="96">
        <f>B27</f>
        <v/>
      </c>
      <c r="C43" s="96">
        <f>C27</f>
        <v/>
      </c>
      <c r="D43" s="96">
        <f>D27</f>
        <v/>
      </c>
      <c r="E43" s="96">
        <f>E27</f>
        <v/>
      </c>
      <c r="F43" s="96">
        <f>F27</f>
        <v/>
      </c>
      <c r="G43" s="96">
        <f>G27</f>
        <v/>
      </c>
      <c r="H43" s="96">
        <f>H27</f>
        <v/>
      </c>
      <c r="I43" s="96">
        <f>I27</f>
        <v/>
      </c>
      <c r="J43" s="96">
        <f>J27</f>
        <v/>
      </c>
      <c r="K43" s="96">
        <f>K27</f>
        <v/>
      </c>
      <c r="L43" s="96">
        <f>L27</f>
        <v/>
      </c>
    </row>
    <row r="44" customFormat="1" s="38">
      <c r="A44" s="38" t="inlineStr">
        <is>
          <t>Free Cash Flow to Firm (FCFF)</t>
        </is>
      </c>
      <c r="B44" s="96">
        <f>B40+B41+B42+B43</f>
        <v/>
      </c>
      <c r="C44" s="96">
        <f>C40+C41+C42+C43</f>
        <v/>
      </c>
      <c r="D44" s="96">
        <f>D40+D41+D42+D43</f>
        <v/>
      </c>
      <c r="E44" s="96">
        <f>E40+E41+E42+E43</f>
        <v/>
      </c>
      <c r="F44" s="96">
        <f>F40+F41+F42+F43</f>
        <v/>
      </c>
      <c r="G44" s="96">
        <f>G40+G41+G42+G43</f>
        <v/>
      </c>
      <c r="H44" s="96">
        <f>H40+H41+H42+H43</f>
        <v/>
      </c>
      <c r="I44" s="96">
        <f>I40+I41+I42+I43</f>
        <v/>
      </c>
      <c r="J44" s="96">
        <f>J40+J41+J42+J43</f>
        <v/>
      </c>
      <c r="K44" s="96">
        <f>K40+K41+K42+K43</f>
        <v/>
      </c>
      <c r="L44" s="96">
        <f>L40+L41+L42+L43</f>
        <v/>
      </c>
    </row>
    <row r="45">
      <c r="B45" s="86" t="n"/>
      <c r="C45" s="86" t="n"/>
      <c r="D45" s="86" t="n"/>
      <c r="E45" s="86" t="n"/>
      <c r="F45" s="86" t="n"/>
      <c r="G45" s="86" t="n"/>
      <c r="H45" s="86" t="n"/>
      <c r="I45" s="86" t="n"/>
      <c r="J45" s="86" t="n"/>
      <c r="K45" s="86" t="n"/>
      <c r="L45" s="86" t="n"/>
    </row>
    <row r="46">
      <c r="A46" t="inlineStr">
        <is>
          <t>FCFE Build-up:</t>
        </is>
      </c>
      <c r="B46" s="86" t="n"/>
      <c r="C46" s="86" t="n"/>
      <c r="D46" s="86" t="n"/>
      <c r="E46" s="86" t="n"/>
      <c r="F46" s="86" t="n"/>
      <c r="G46" s="86" t="n"/>
      <c r="H46" s="86" t="n"/>
      <c r="I46" s="86" t="n"/>
      <c r="J46" s="86" t="n"/>
      <c r="K46" s="86" t="n"/>
      <c r="L46" s="86" t="n"/>
    </row>
    <row r="47">
      <c r="A47" t="inlineStr">
        <is>
          <t>FCFF (from above)</t>
        </is>
      </c>
      <c r="B47" s="96">
        <f>B44</f>
        <v/>
      </c>
      <c r="C47" s="96">
        <f>C44</f>
        <v/>
      </c>
      <c r="D47" s="96">
        <f>D44</f>
        <v/>
      </c>
      <c r="E47" s="96">
        <f>E44</f>
        <v/>
      </c>
      <c r="F47" s="96">
        <f>F44</f>
        <v/>
      </c>
      <c r="G47" s="96">
        <f>G44</f>
        <v/>
      </c>
      <c r="H47" s="96">
        <f>H44</f>
        <v/>
      </c>
      <c r="I47" s="96">
        <f>I44</f>
        <v/>
      </c>
      <c r="J47" s="96">
        <f>J44</f>
        <v/>
      </c>
      <c r="K47" s="96">
        <f>K44</f>
        <v/>
      </c>
      <c r="L47" s="96">
        <f>L44</f>
        <v/>
      </c>
    </row>
    <row r="48">
      <c r="A48" t="inlineStr">
        <is>
          <t>Less: Interest Expense × (1 - Tax)</t>
        </is>
      </c>
      <c r="B48" s="96">
        <f>-B36*(1-B21/100)</f>
        <v/>
      </c>
      <c r="C48" s="96">
        <f>-C36*(1-C21/100)</f>
        <v/>
      </c>
      <c r="D48" s="96">
        <f>-D36*(1-D21/100)</f>
        <v/>
      </c>
      <c r="E48" s="96">
        <f>-E36*(1-E21/100)</f>
        <v/>
      </c>
      <c r="F48" s="96">
        <f>-F36*(1-F21/100)</f>
        <v/>
      </c>
      <c r="G48" s="96">
        <f>-G36*(1-G21/100)</f>
        <v/>
      </c>
      <c r="H48" s="96">
        <f>-H36*(1-H21/100)</f>
        <v/>
      </c>
      <c r="I48" s="96">
        <f>-I36*(1-I21/100)</f>
        <v/>
      </c>
      <c r="J48" s="96">
        <f>-J36*(1-J21/100)</f>
        <v/>
      </c>
      <c r="K48" s="96">
        <f>-K36*(1-K21/100)</f>
        <v/>
      </c>
      <c r="L48" s="96">
        <f>-L36*(1-L21/100)</f>
        <v/>
      </c>
    </row>
    <row r="49">
      <c r="A49" t="inlineStr">
        <is>
          <t>Less: Principal Repayment</t>
        </is>
      </c>
      <c r="B49" s="96">
        <f>B32</f>
        <v/>
      </c>
      <c r="C49" s="96">
        <f>C32</f>
        <v/>
      </c>
      <c r="D49" s="96">
        <f>D32</f>
        <v/>
      </c>
      <c r="E49" s="96">
        <f>E32</f>
        <v/>
      </c>
      <c r="F49" s="96">
        <f>F32</f>
        <v/>
      </c>
      <c r="G49" s="96">
        <f>G32</f>
        <v/>
      </c>
      <c r="H49" s="96">
        <f>H32</f>
        <v/>
      </c>
      <c r="I49" s="96">
        <f>I32</f>
        <v/>
      </c>
      <c r="J49" s="96">
        <f>J32</f>
        <v/>
      </c>
      <c r="K49" s="96">
        <f>K32</f>
        <v/>
      </c>
      <c r="L49" s="96">
        <f>L32</f>
        <v/>
      </c>
    </row>
    <row r="50">
      <c r="A50" t="inlineStr">
        <is>
          <t>Add: New Debt Drawn</t>
        </is>
      </c>
      <c r="B50" s="96">
        <f>B31</f>
        <v/>
      </c>
      <c r="C50" s="96">
        <f>C31</f>
        <v/>
      </c>
      <c r="D50" s="96">
        <f>D31</f>
        <v/>
      </c>
      <c r="E50" s="96">
        <f>E31</f>
        <v/>
      </c>
      <c r="F50" s="96">
        <f>F31</f>
        <v/>
      </c>
      <c r="G50" s="96">
        <f>G31</f>
        <v/>
      </c>
      <c r="H50" s="96">
        <f>H31</f>
        <v/>
      </c>
      <c r="I50" s="96">
        <f>I31</f>
        <v/>
      </c>
      <c r="J50" s="96">
        <f>J31</f>
        <v/>
      </c>
      <c r="K50" s="96">
        <f>K31</f>
        <v/>
      </c>
      <c r="L50" s="96">
        <f>L31</f>
        <v/>
      </c>
    </row>
    <row r="51">
      <c r="A51" t="inlineStr">
        <is>
          <t>Other FCFE Adjustments (manual override — see notes)</t>
        </is>
      </c>
      <c r="B51" s="89" t="n"/>
      <c r="C51" s="89" t="n"/>
      <c r="D51" s="89" t="n"/>
      <c r="E51" s="89" t="n"/>
      <c r="F51" s="89" t="n"/>
      <c r="G51" s="89" t="n"/>
      <c r="H51" s="89" t="n"/>
      <c r="I51" s="89" t="n"/>
      <c r="J51" s="89" t="n"/>
      <c r="K51" s="89" t="n"/>
      <c r="L51" s="89" t="n"/>
    </row>
    <row r="52" customFormat="1" s="38">
      <c r="A52" s="38" t="inlineStr">
        <is>
          <t>Free Cash Flow to Equity (FCFE)</t>
        </is>
      </c>
      <c r="B52" s="96">
        <f>SUM(B47:B51)</f>
        <v/>
      </c>
      <c r="C52" s="96">
        <f>SUM(C47:C51)</f>
        <v/>
      </c>
      <c r="D52" s="96">
        <f>SUM(D47:D51)</f>
        <v/>
      </c>
      <c r="E52" s="96">
        <f>SUM(E47:E51)</f>
        <v/>
      </c>
      <c r="F52" s="96">
        <f>SUM(F47:F51)</f>
        <v/>
      </c>
      <c r="G52" s="96">
        <f>SUM(G47:G51)</f>
        <v/>
      </c>
      <c r="H52" s="96">
        <f>SUM(H47:H51)</f>
        <v/>
      </c>
      <c r="I52" s="96">
        <f>SUM(I47:I51)</f>
        <v/>
      </c>
      <c r="J52" s="96">
        <f>SUM(J47:J51)</f>
        <v/>
      </c>
      <c r="K52" s="96">
        <f>SUM(K47:K51)</f>
        <v/>
      </c>
      <c r="L52" s="96">
        <f>SUM(L47:L51)</f>
        <v/>
      </c>
    </row>
    <row r="53">
      <c r="B53" s="86" t="n"/>
      <c r="C53" s="86" t="n"/>
      <c r="D53" s="86" t="n"/>
      <c r="E53" s="86" t="n"/>
      <c r="F53" s="86" t="n"/>
      <c r="G53" s="86" t="n"/>
      <c r="H53" s="86" t="n"/>
      <c r="I53" s="86" t="n"/>
      <c r="J53" s="86" t="n"/>
      <c r="K53" s="86" t="n"/>
      <c r="L53" s="86" t="n"/>
    </row>
    <row r="54">
      <c r="A54" s="27" t="inlineStr">
        <is>
          <t>6. EQUITY BRIDGE ITEMS (as on Valuation Date)</t>
        </is>
      </c>
      <c r="B54" s="86" t="n"/>
      <c r="C54" s="86" t="n"/>
      <c r="D54" s="86" t="n"/>
      <c r="E54" s="86" t="n"/>
      <c r="F54" s="86" t="n"/>
      <c r="G54" s="86" t="n"/>
      <c r="H54" s="86" t="n"/>
      <c r="I54" s="86" t="n"/>
      <c r="J54" s="86" t="n"/>
      <c r="K54" s="86" t="n"/>
      <c r="L54" s="86" t="n"/>
    </row>
    <row r="55">
      <c r="A55" t="inlineStr">
        <is>
          <t>Cash and Cash Equivalents</t>
        </is>
      </c>
      <c r="B55" s="89" t="n"/>
      <c r="C55" s="89" t="n"/>
      <c r="D55" s="89" t="n"/>
      <c r="E55" s="89" t="n"/>
      <c r="F55" s="89" t="n"/>
      <c r="G55" s="89" t="n"/>
      <c r="H55" s="89" t="n"/>
      <c r="I55" s="89" t="n"/>
      <c r="J55" s="89" t="n"/>
      <c r="K55" s="89" t="n"/>
      <c r="L55" s="89" t="n"/>
    </row>
    <row r="56">
      <c r="A56" t="inlineStr">
        <is>
          <t>Current Investments</t>
        </is>
      </c>
      <c r="B56" s="89" t="n"/>
      <c r="C56" s="89" t="n"/>
      <c r="D56" s="89" t="n"/>
      <c r="E56" s="89" t="n"/>
      <c r="F56" s="89" t="n"/>
      <c r="G56" s="89" t="n"/>
      <c r="H56" s="89" t="n"/>
      <c r="I56" s="89" t="n"/>
      <c r="J56" s="89" t="n"/>
      <c r="K56" s="89" t="n"/>
      <c r="L56" s="89" t="n"/>
    </row>
    <row r="57">
      <c r="A57" t="inlineStr">
        <is>
          <t>Total Debt (Long-term + Short-term)</t>
        </is>
      </c>
      <c r="B57" s="89" t="n"/>
      <c r="C57" s="89" t="n"/>
      <c r="D57" s="89" t="n"/>
      <c r="E57" s="89" t="n"/>
      <c r="F57" s="89" t="n"/>
      <c r="G57" s="89" t="n"/>
      <c r="H57" s="89" t="n"/>
      <c r="I57" s="89" t="n"/>
      <c r="J57" s="89" t="n"/>
      <c r="K57" s="89" t="n"/>
      <c r="L57" s="89" t="n"/>
    </row>
    <row r="58">
      <c r="A58" t="inlineStr">
        <is>
          <t>Preference Share Capital</t>
        </is>
      </c>
      <c r="B58" s="89" t="n"/>
      <c r="C58" s="89" t="n"/>
      <c r="D58" s="89" t="n"/>
      <c r="E58" s="89" t="n"/>
      <c r="F58" s="89" t="n"/>
      <c r="G58" s="89" t="n"/>
      <c r="H58" s="89" t="n"/>
      <c r="I58" s="89" t="n"/>
      <c r="J58" s="89" t="n"/>
      <c r="K58" s="89" t="n"/>
      <c r="L58" s="89" t="n"/>
    </row>
    <row r="59">
      <c r="A59" t="inlineStr">
        <is>
          <t>Other Equity Bridge Adjustments (specify in notes)</t>
        </is>
      </c>
      <c r="B59" s="89" t="n"/>
      <c r="C59" s="89" t="n"/>
      <c r="D59" s="89" t="n"/>
      <c r="E59" s="89" t="n"/>
      <c r="F59" s="89" t="n"/>
      <c r="G59" s="89" t="n"/>
      <c r="H59" s="89" t="n"/>
      <c r="I59" s="89" t="n"/>
      <c r="J59" s="89" t="n"/>
      <c r="K59" s="89" t="n"/>
      <c r="L59" s="89" t="n"/>
    </row>
    <row r="60">
      <c r="B60" s="86" t="n"/>
      <c r="C60" s="86" t="n"/>
      <c r="D60" s="86" t="n"/>
      <c r="E60" s="86" t="n"/>
      <c r="F60" s="86" t="n"/>
      <c r="G60" s="86" t="n"/>
      <c r="H60" s="86" t="n"/>
      <c r="I60" s="86" t="n"/>
      <c r="J60" s="86" t="n"/>
      <c r="K60" s="86" t="n"/>
      <c r="L60" s="86" t="n"/>
    </row>
    <row r="61">
      <c r="A61" s="27" t="inlineStr">
        <is>
          <t>7. SHARE INFORMATION</t>
        </is>
      </c>
      <c r="B61" s="86" t="n"/>
      <c r="C61" s="86" t="n"/>
      <c r="D61" s="86" t="n"/>
      <c r="E61" s="86" t="n"/>
      <c r="F61" s="86" t="n"/>
      <c r="G61" s="86" t="n"/>
      <c r="H61" s="86" t="n"/>
      <c r="I61" s="86" t="n"/>
      <c r="J61" s="86" t="n"/>
      <c r="K61" s="86" t="n"/>
      <c r="L61" s="86" t="n"/>
    </row>
    <row r="62">
      <c r="A62" t="inlineStr">
        <is>
          <t>Number of Equity Shares Outstanding (in millions)</t>
        </is>
      </c>
      <c r="B62" s="89" t="n"/>
      <c r="C62" s="89" t="n"/>
      <c r="D62" s="89" t="n"/>
      <c r="E62" s="89" t="n"/>
      <c r="F62" s="89" t="n"/>
      <c r="G62" s="89" t="n"/>
      <c r="H62" s="89" t="n"/>
      <c r="I62" s="89" t="n"/>
      <c r="J62" s="89" t="n"/>
      <c r="K62" s="89" t="n"/>
      <c r="L62" s="89" t="n"/>
    </row>
    <row r="63">
      <c r="A63" s="39" t="inlineStr">
        <is>
          <t>Face Value per Share (INR)</t>
        </is>
      </c>
      <c r="B63" s="99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</row>
  </sheetData>
  <mergeCells count="1">
    <mergeCell ref="A1:L1"/>
  </mergeCell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:B1"/>
    </sheetView>
  </sheetViews>
  <sheetFormatPr baseColWidth="8" defaultRowHeight="15"/>
  <cols>
    <col width="117" customWidth="1" style="57" min="1" max="1"/>
    <col width="25.7109375" customWidth="1" style="57" min="2" max="2"/>
  </cols>
  <sheetData>
    <row r="1" ht="21" customHeight="1" s="57">
      <c r="A1" s="43" t="inlineStr">
        <is>
          <t>WACC INPUTS - COST OF CAPITAL BUILD-UP</t>
        </is>
      </c>
    </row>
    <row r="3">
      <c r="A3" s="44" t="inlineStr">
        <is>
          <t>Note: WACC may be computed once (flat across forecast years) or year-by-year (reflecting changing capital structure). Default is flat.</t>
        </is>
      </c>
    </row>
    <row r="5">
      <c r="A5" s="55" t="inlineStr">
        <is>
          <t>1. CAPM BUILD-UP FOR COST OF EQUITY (Ke)</t>
        </is>
      </c>
      <c r="B5" s="62" t="n"/>
    </row>
    <row r="6">
      <c r="A6" s="17" t="inlineStr">
        <is>
          <t>Risk-Free Rate (Rf) — 10-Year G-Sec Yield (%)</t>
        </is>
      </c>
      <c r="B6" s="100" t="n"/>
    </row>
    <row r="7">
      <c r="A7" s="17" t="inlineStr">
        <is>
          <t>Equity Risk Premium (ERP, Rm-Rf) (%)</t>
        </is>
      </c>
      <c r="B7" s="100" t="n"/>
    </row>
    <row r="8">
      <c r="A8" s="17" t="inlineStr">
        <is>
          <t>Re-levered Beta (β)</t>
        </is>
      </c>
      <c r="B8" s="100" t="n"/>
    </row>
    <row r="9" ht="30" customHeight="1" s="57">
      <c r="A9" s="45" t="inlineStr">
        <is>
          <t>Industry Source for Beta
(default: Aswath Damodaran (NYU Stern))</t>
        </is>
      </c>
      <c r="B9" s="20" t="n"/>
    </row>
    <row r="10">
      <c r="A10" s="17" t="inlineStr">
        <is>
          <t>Base Cost of Equity per CAPM = Rf + β × ERP (%)</t>
        </is>
      </c>
      <c r="B10" s="101">
        <f>B6+(B7*B8)</f>
        <v/>
      </c>
    </row>
    <row r="11">
      <c r="A11" s="17" t="n"/>
      <c r="B11" s="20" t="n"/>
    </row>
    <row r="12">
      <c r="A12" s="17" t="inlineStr">
        <is>
          <t>Company-Specific Risk Premium (CSRP) (%)</t>
        </is>
      </c>
      <c r="B12" s="100" t="n"/>
    </row>
    <row r="13">
      <c r="A13" s="17" t="inlineStr">
        <is>
          <t>(CSRP for unlisted/small companies typically 5%-15%)</t>
        </is>
      </c>
      <c r="B13" s="20" t="n"/>
    </row>
    <row r="14">
      <c r="A14" s="17" t="n"/>
      <c r="B14" s="20" t="n"/>
    </row>
    <row r="15">
      <c r="A15" s="17" t="inlineStr">
        <is>
          <t>Adjusted Cost of Equity (Ke) = Base CAPM + CSRP (%)</t>
        </is>
      </c>
      <c r="B15" s="101">
        <f>B10+B12</f>
        <v/>
      </c>
    </row>
    <row r="16">
      <c r="A16" s="46" t="n"/>
      <c r="B16" s="49" t="n"/>
    </row>
    <row r="17">
      <c r="A17" s="55" t="inlineStr">
        <is>
          <t>2. DIRECT Ke OVERRIDE (used only if "Direct Ke" selected on Cover sheet)</t>
        </is>
      </c>
      <c r="B17" s="62" t="n"/>
    </row>
    <row r="18">
      <c r="A18" s="17" t="inlineStr">
        <is>
          <t>Direct Cost of Equity (%)</t>
        </is>
      </c>
      <c r="B18" s="102" t="n"/>
    </row>
    <row r="19">
      <c r="A19" s="17" t="inlineStr">
        <is>
          <t>(If 0 or blank, ValuAI uses CAPM build-up above. Otherwise, Direct Ke overrides.)</t>
        </is>
      </c>
      <c r="B19" s="20" t="n"/>
    </row>
    <row r="20">
      <c r="A20" s="46" t="n"/>
      <c r="B20" s="49" t="n"/>
    </row>
    <row r="21">
      <c r="A21" s="55" t="inlineStr">
        <is>
          <t>3. COST OF DEBT (Kd)</t>
        </is>
      </c>
      <c r="B21" s="62" t="n"/>
    </row>
    <row r="22">
      <c r="A22" s="17" t="inlineStr">
        <is>
          <t>Pre-Tax Cost of Debt (%)</t>
        </is>
      </c>
      <c r="B22" s="100" t="n"/>
    </row>
    <row r="23">
      <c r="A23" s="17" t="inlineStr">
        <is>
          <t>Effective Tax Rate (%)</t>
        </is>
      </c>
      <c r="B23" s="100">
        <f>Projections!B21</f>
        <v/>
      </c>
    </row>
    <row r="24">
      <c r="A24" s="17" t="inlineStr">
        <is>
          <t>Post-Tax Cost of Debt = Kd × (1 - Tax) (%)</t>
        </is>
      </c>
      <c r="B24" s="101">
        <f>B22*(1-B23/100)</f>
        <v/>
      </c>
    </row>
    <row r="25">
      <c r="A25" s="46" t="n"/>
      <c r="B25" s="49" t="n"/>
    </row>
    <row r="26">
      <c r="A26" s="55" t="inlineStr">
        <is>
          <t>4. CAPITAL STRUCTURE WEIGHTS</t>
        </is>
      </c>
      <c r="B26" s="62" t="n"/>
    </row>
    <row r="27">
      <c r="A27" s="17" t="inlineStr">
        <is>
          <t>Weight of Equity (We) (%)</t>
        </is>
      </c>
      <c r="B27" s="100" t="n"/>
    </row>
    <row r="28">
      <c r="A28" s="17" t="inlineStr">
        <is>
          <t>Weight of Debt (Wd) (%)</t>
        </is>
      </c>
      <c r="B28" s="100" t="n"/>
    </row>
    <row r="29">
      <c r="A29" s="17" t="inlineStr">
        <is>
          <t>Total (must equal 100%)</t>
        </is>
      </c>
      <c r="B29" s="101">
        <f>SUM(B27:B28)</f>
        <v/>
      </c>
    </row>
    <row r="30">
      <c r="A30" s="46" t="n"/>
      <c r="B30" s="49" t="n"/>
    </row>
    <row r="31">
      <c r="A31" s="55" t="inlineStr">
        <is>
          <t>5. WEIGHTED AVERAGE COST OF CAPITAL (WACC)</t>
        </is>
      </c>
      <c r="B31" s="56" t="n"/>
    </row>
    <row r="32">
      <c r="A32" s="17" t="inlineStr">
        <is>
          <t>Effective Ke (auto: CAPM if Direct = 0, else Direct)</t>
        </is>
      </c>
      <c r="B32" s="101">
        <f>IF(B18=0,B15,B18)</f>
        <v/>
      </c>
    </row>
    <row r="33">
      <c r="A33" s="17" t="inlineStr">
        <is>
          <t>Effective Kd (post-tax)</t>
        </is>
      </c>
      <c r="B33" s="101">
        <f>B24</f>
        <v/>
      </c>
    </row>
    <row r="34">
      <c r="A34" s="17" t="inlineStr">
        <is>
          <t>WACC (Equity Component + Debt Component) (%)</t>
        </is>
      </c>
      <c r="B34" s="103">
        <f>(B27*B32+B28*B33)/100</f>
        <v/>
      </c>
    </row>
    <row r="35">
      <c r="A35" s="46" t="n"/>
      <c r="B35" s="49" t="n"/>
    </row>
    <row r="36">
      <c r="A36" s="55" t="inlineStr">
        <is>
          <t>6. NOTES AND SOURCES</t>
        </is>
      </c>
      <c r="B36" s="62" t="n"/>
    </row>
    <row r="37" ht="30" customHeight="1" s="57">
      <c r="A37" s="17" t="inlineStr">
        <is>
          <t>Source for Risk-Free Rate</t>
        </is>
      </c>
      <c r="B37" s="52" t="inlineStr">
        <is>
          <t>RBI / FBIL 10-Year G-Sec Yield as on Valuation Date</t>
        </is>
      </c>
    </row>
    <row r="38" ht="60" customHeight="1" s="57">
      <c r="A38" s="17" t="inlineStr">
        <is>
          <t>Source for Equity Risk Premium</t>
        </is>
      </c>
      <c r="B38" s="52" t="inlineStr">
        <is>
          <t>Aswath Damodaran, NYU Stern (adamodar@stern.nyu.edu)</t>
        </is>
      </c>
    </row>
    <row r="39" ht="30" customHeight="1" s="57">
      <c r="A39" s="17" t="inlineStr">
        <is>
          <t>Source for Industry Beta</t>
        </is>
      </c>
      <c r="B39" s="52" t="inlineStr">
        <is>
          <t>Aswath Damodaran Industry Beta Tables</t>
        </is>
      </c>
    </row>
    <row r="40">
      <c r="A40" s="17" t="inlineStr">
        <is>
          <t>Justification for CSRP</t>
        </is>
      </c>
      <c r="B40" s="53" t="n"/>
    </row>
    <row r="41">
      <c r="A41" s="46" t="inlineStr">
        <is>
          <t>Other Notes</t>
        </is>
      </c>
      <c r="B41" s="54" t="n"/>
    </row>
  </sheetData>
  <mergeCells count="1">
    <mergeCell ref="A1:B1"/>
  </mergeCells>
  <pageMargins left="0.7" right="0.7" top="0.75" bottom="0.75" header="0.3" footer="0.3"/>
  <pageSetup orientation="portrait" paperSize="9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8"/>
  <sheetViews>
    <sheetView showGridLines="0" workbookViewId="0">
      <selection activeCell="A1" sqref="A1:C1"/>
    </sheetView>
  </sheetViews>
  <sheetFormatPr baseColWidth="8" defaultRowHeight="15"/>
  <cols>
    <col width="61.85546875" customWidth="1" style="57" min="1" max="1"/>
    <col width="20.7109375" customWidth="1" style="57" min="2" max="3"/>
  </cols>
  <sheetData>
    <row r="1" ht="21" customHeight="1" s="57">
      <c r="A1" s="43" t="inlineStr">
        <is>
          <t>OTHER INPUTS - TERMINAL VALUE, SENSITIVITY &amp; MISCELLANEOUS</t>
        </is>
      </c>
    </row>
    <row r="3">
      <c r="A3" s="55" t="inlineStr">
        <is>
          <t>1. TERMINAL VALUE PARAMETERS</t>
        </is>
      </c>
      <c r="B3" s="72" t="n"/>
      <c r="C3" s="62" t="n"/>
    </row>
    <row r="4">
      <c r="A4" s="17" t="inlineStr">
        <is>
          <t>Terminal Value Method (from Cover sheet)</t>
        </is>
      </c>
      <c r="B4" s="71">
        <f>Cover!B37</f>
        <v/>
      </c>
      <c r="C4" s="20" t="n"/>
    </row>
    <row r="5">
      <c r="A5" s="17" t="n"/>
      <c r="B5" s="20" t="n"/>
      <c r="C5" s="20" t="n"/>
    </row>
    <row r="6">
      <c r="A6" s="17" t="inlineStr">
        <is>
          <t>For Gordon Growth Method:</t>
        </is>
      </c>
      <c r="B6" s="20" t="n"/>
      <c r="C6" s="20" t="n"/>
    </row>
    <row r="7">
      <c r="A7" s="17" t="inlineStr">
        <is>
          <t>Perpetual Growth Rate (g) (%)</t>
        </is>
      </c>
      <c r="B7" s="100" t="n"/>
      <c r="C7" s="20" t="n"/>
    </row>
    <row r="8">
      <c r="A8" s="59" t="inlineStr">
        <is>
          <t>(Typically 2-6% for India; should not exceed long-term GDP growth)</t>
        </is>
      </c>
      <c r="B8" s="20" t="n"/>
      <c r="C8" s="20" t="n"/>
    </row>
    <row r="9">
      <c r="A9" s="17" t="n"/>
      <c r="B9" s="20" t="n"/>
      <c r="C9" s="20" t="n"/>
    </row>
    <row r="10">
      <c r="A10" s="17" t="inlineStr">
        <is>
          <t>For Exit Multiple Method:</t>
        </is>
      </c>
      <c r="B10" s="20" t="n"/>
      <c r="C10" s="20" t="n"/>
    </row>
    <row r="11">
      <c r="A11" s="17" t="inlineStr">
        <is>
          <t>Exit EBITDA Multiple (x)</t>
        </is>
      </c>
      <c r="B11" s="19" t="n"/>
      <c r="C11" s="20" t="n"/>
    </row>
    <row r="12">
      <c r="A12" s="17" t="n"/>
      <c r="B12" s="49" t="n"/>
      <c r="C12" s="49" t="n"/>
    </row>
    <row r="13">
      <c r="A13" s="55" t="inlineStr">
        <is>
          <t>2. SENSITIVITY ANALYSIS RANGES (for Tornado Chart)</t>
        </is>
      </c>
      <c r="B13" s="72" t="n"/>
      <c r="C13" s="62" t="n"/>
    </row>
    <row r="14">
      <c r="A14" s="17" t="inlineStr">
        <is>
          <t>Driver</t>
        </is>
      </c>
      <c r="B14" s="63" t="inlineStr">
        <is>
          <t>Lower Variation (-)</t>
        </is>
      </c>
      <c r="C14" s="63" t="inlineStr">
        <is>
          <t>Upper Variation (+)</t>
        </is>
      </c>
    </row>
    <row r="15">
      <c r="A15" s="17" t="inlineStr">
        <is>
          <t>WACC (% absolute change)</t>
        </is>
      </c>
      <c r="B15" s="104" t="n">
        <v>-2</v>
      </c>
      <c r="C15" s="104" t="n">
        <v>2</v>
      </c>
    </row>
    <row r="16">
      <c r="A16" s="17" t="inlineStr">
        <is>
          <t>Terminal Growth Rate (% absolute change)</t>
        </is>
      </c>
      <c r="B16" s="104" t="n">
        <v>-1</v>
      </c>
      <c r="C16" s="104" t="n">
        <v>1</v>
      </c>
    </row>
    <row r="17">
      <c r="A17" s="17" t="inlineStr">
        <is>
          <t>EBIT Margin (% relative change)</t>
        </is>
      </c>
      <c r="B17" s="104" t="n">
        <v>-10</v>
      </c>
      <c r="C17" s="104" t="n">
        <v>10</v>
      </c>
    </row>
    <row r="18">
      <c r="A18" s="17" t="inlineStr">
        <is>
          <t>CAPEX (% relative change)</t>
        </is>
      </c>
      <c r="B18" s="104" t="n">
        <v>-15</v>
      </c>
      <c r="C18" s="104" t="n">
        <v>15</v>
      </c>
    </row>
    <row r="19">
      <c r="A19" s="17" t="inlineStr">
        <is>
          <t>Working Capital Investment (% relative change)</t>
        </is>
      </c>
      <c r="B19" s="104" t="n">
        <v>-20</v>
      </c>
      <c r="C19" s="104" t="n">
        <v>20</v>
      </c>
    </row>
    <row r="20">
      <c r="A20" s="17" t="n"/>
      <c r="B20" s="65" t="n"/>
      <c r="C20" s="65" t="n"/>
    </row>
    <row r="21" ht="64.5" customHeight="1" s="57">
      <c r="A21" s="60" t="inlineStr">
        <is>
          <t>Note: WACC and Terminal Growth use absolute % point changes (e.g., ±2 means WACC moves ±2 percentage points). EBIT, CAPEX, WC use relative % changes (e.g., -10 means EBIT margin reduced by 10% of itself).</t>
        </is>
      </c>
      <c r="B21" s="65" t="n"/>
      <c r="C21" s="65" t="n"/>
    </row>
    <row r="22">
      <c r="A22" s="60" t="n"/>
      <c r="B22" s="65" t="n"/>
      <c r="C22" s="65" t="n"/>
    </row>
    <row r="23">
      <c r="A23" s="55" t="inlineStr">
        <is>
          <t>3. DISCOUNT FOR LACK OF MARKETABILITY (DLOM)</t>
        </is>
      </c>
      <c r="B23" s="72" t="n"/>
      <c r="C23" s="62" t="n"/>
    </row>
    <row r="24">
      <c r="A24" s="17" t="inlineStr">
        <is>
          <t>Apply DLOM? (Yes/No)</t>
        </is>
      </c>
      <c r="B24" s="66" t="inlineStr">
        <is>
          <t>No</t>
        </is>
      </c>
      <c r="C24" s="15" t="n"/>
    </row>
    <row r="25">
      <c r="A25" s="17" t="inlineStr">
        <is>
          <t>DLOM Percentage (%)</t>
        </is>
      </c>
      <c r="B25" s="95" t="n"/>
      <c r="C25" s="15" t="n"/>
    </row>
    <row r="26">
      <c r="A26" s="17" t="inlineStr">
        <is>
          <t>(Typical range: 15-30% for unlisted equity per IBBI / IVS guidance)</t>
        </is>
      </c>
      <c r="B26" s="20" t="n"/>
      <c r="C26" s="15" t="n"/>
    </row>
    <row r="27">
      <c r="A27" s="17" t="inlineStr">
        <is>
          <t>Justification for DLOM</t>
        </is>
      </c>
      <c r="B27" s="19" t="n"/>
      <c r="C27" s="15" t="n"/>
    </row>
    <row r="28">
      <c r="A28" s="17" t="n"/>
      <c r="B28" s="20" t="n"/>
      <c r="C28" s="15" t="n"/>
    </row>
    <row r="29">
      <c r="A29" s="55" t="inlineStr">
        <is>
          <t>4. DISCOUNT FOR LACK OF CONTROL (DLOC) — Minority Discount</t>
        </is>
      </c>
      <c r="B29" s="72" t="n"/>
      <c r="C29" s="62" t="n"/>
    </row>
    <row r="30">
      <c r="A30" s="17" t="inlineStr">
        <is>
          <t>Apply DLOC? (Yes/No)</t>
        </is>
      </c>
      <c r="B30" s="66" t="inlineStr">
        <is>
          <t>No</t>
        </is>
      </c>
      <c r="C30" s="15" t="n"/>
    </row>
    <row r="31">
      <c r="A31" s="17" t="inlineStr">
        <is>
          <t>DLOC Percentage (%)</t>
        </is>
      </c>
      <c r="B31" s="95" t="n"/>
      <c r="C31" s="15" t="n"/>
    </row>
    <row r="32">
      <c r="A32" s="17" t="inlineStr">
        <is>
          <t>(Typical range: 10-25% for unlisted equity per IBBI / IVS guidance)</t>
        </is>
      </c>
      <c r="B32" s="20" t="n"/>
      <c r="C32" s="15" t="n"/>
    </row>
    <row r="33">
      <c r="A33" s="17" t="inlineStr">
        <is>
          <t>Justification for DLOC</t>
        </is>
      </c>
      <c r="B33" s="19" t="n"/>
      <c r="C33" s="15" t="n"/>
    </row>
    <row r="34">
      <c r="A34" s="17" t="n"/>
      <c r="B34" s="20" t="n"/>
      <c r="C34" s="15" t="n"/>
    </row>
    <row r="35">
      <c r="A35" s="55" t="inlineStr">
        <is>
          <t>5. METHOD WEIGHTAGES (for blending multiple methods)</t>
        </is>
      </c>
      <c r="B35" s="72" t="n"/>
      <c r="C35" s="62" t="n"/>
    </row>
    <row r="36">
      <c r="A36" s="17" t="inlineStr">
        <is>
          <t>DCF (Income Approach) Weight (%)</t>
        </is>
      </c>
      <c r="B36" s="104" t="n">
        <v>100</v>
      </c>
      <c r="C36" s="15" t="n"/>
    </row>
    <row r="37">
      <c r="A37" s="17" t="inlineStr">
        <is>
          <t>CCM (Market Approach - Comparable Companies) Weight (%)</t>
        </is>
      </c>
      <c r="B37" s="104" t="n">
        <v>0</v>
      </c>
      <c r="C37" s="15" t="n"/>
    </row>
    <row r="38">
      <c r="A38" s="17" t="inlineStr">
        <is>
          <t>NAV (Cost Approach) Weight (%)</t>
        </is>
      </c>
      <c r="B38" s="104" t="n">
        <v>0</v>
      </c>
      <c r="C38" s="15" t="n"/>
    </row>
    <row r="39">
      <c r="A39" s="17" t="inlineStr">
        <is>
          <t>Total Weight (must equal 100%)</t>
        </is>
      </c>
      <c r="B39" s="105">
        <f>SUM(B36:B38)</f>
        <v/>
      </c>
      <c r="C39" s="15" t="n"/>
    </row>
    <row r="40">
      <c r="A40" s="17" t="inlineStr">
        <is>
          <t>Reasoning for Weights</t>
        </is>
      </c>
      <c r="B40" s="19" t="n"/>
      <c r="C40" s="15" t="n"/>
    </row>
    <row r="41">
      <c r="A41" s="17" t="n"/>
      <c r="B41" s="20" t="n"/>
      <c r="C41" s="15" t="n"/>
    </row>
    <row r="42">
      <c r="A42" s="55" t="inlineStr">
        <is>
          <t>6. PRE-MONEY / POST-MONEY RECONCILIATION</t>
        </is>
      </c>
      <c r="B42" s="72" t="n"/>
      <c r="C42" s="62" t="n"/>
    </row>
    <row r="43">
      <c r="A43" s="17" t="inlineStr">
        <is>
          <t>Use Case (from Cover sheet)</t>
        </is>
      </c>
      <c r="B43" s="68">
        <f>Cover!B40</f>
        <v/>
      </c>
      <c r="C43" s="15" t="n"/>
    </row>
    <row r="44">
      <c r="A44" s="17" t="inlineStr">
        <is>
          <t>Investment Amount (from Cover sheet)</t>
        </is>
      </c>
      <c r="B44" s="106">
        <f>Cover!B41</f>
        <v/>
      </c>
      <c r="C44" s="15" t="n"/>
    </row>
    <row r="45">
      <c r="A45" s="17" t="inlineStr">
        <is>
          <t>Pre-Investment Shares (from Cover sheet)</t>
        </is>
      </c>
      <c r="B45" s="106">
        <f>Cover!B42</f>
        <v/>
      </c>
      <c r="C45" s="15" t="n"/>
    </row>
    <row r="46">
      <c r="A46" s="17" t="inlineStr">
        <is>
          <t>New Shares Issued (from Cover sheet)</t>
        </is>
      </c>
      <c r="B46" s="106">
        <f>Cover!B43</f>
        <v/>
      </c>
      <c r="C46" s="15" t="n"/>
    </row>
    <row r="47">
      <c r="A47" s="17" t="inlineStr">
        <is>
          <t>Post-Investment Shares (from Cover sheet)</t>
        </is>
      </c>
      <c r="B47" s="106">
        <f>Cover!B44</f>
        <v/>
      </c>
      <c r="C47" s="15" t="n"/>
    </row>
    <row r="48">
      <c r="A48" s="46" t="inlineStr">
        <is>
          <t>(Pre-money valuation = Post-money valuation - Investment Amount)</t>
        </is>
      </c>
      <c r="B48" s="107" t="n">
        <v>0</v>
      </c>
      <c r="C48" s="47" t="n"/>
    </row>
  </sheetData>
  <mergeCells count="1">
    <mergeCell ref="A1:C1"/>
  </mergeCells>
  <dataValidations count="1">
    <dataValidation sqref="B24 B30" showDropDown="0" showInputMessage="1" showErrorMessage="1" allowBlank="1" type="list">
      <formula1>"Yes,No"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0" workbookViewId="0">
      <selection activeCell="A1" sqref="A1:L1"/>
    </sheetView>
  </sheetViews>
  <sheetFormatPr baseColWidth="8" defaultRowHeight="15"/>
  <cols>
    <col width="56.7109375" customWidth="1" style="57" min="1" max="1"/>
    <col width="15" customWidth="1" style="57" min="2" max="12"/>
  </cols>
  <sheetData>
    <row r="1" ht="21" customHeight="1" s="57">
      <c r="A1" s="108" t="inlineStr">
        <is>
          <t>COMPARABLES (FOR MARKET APPROACH - CCM)</t>
        </is>
      </c>
      <c r="B1" s="109" t="n"/>
      <c r="C1" s="109" t="n"/>
      <c r="D1" s="109" t="n"/>
      <c r="E1" s="109" t="n"/>
      <c r="F1" s="109" t="n"/>
      <c r="G1" s="109" t="n"/>
      <c r="H1" s="109" t="n"/>
      <c r="I1" s="109" t="n"/>
      <c r="J1" s="109" t="n"/>
      <c r="K1" s="109" t="n"/>
      <c r="L1" s="110" t="n"/>
    </row>
    <row r="2">
      <c r="A2" s="17" t="n"/>
      <c r="L2" s="15" t="n"/>
    </row>
    <row r="3">
      <c r="A3" s="17" t="inlineStr">
        <is>
          <t>Note: Enter up to 8 comparable listed companies. The CCM engine will compute median multiples and apply them to the subject company. Selection criteria should be documented for IBBI defensibility.</t>
        </is>
      </c>
      <c r="L3" s="15" t="n"/>
    </row>
    <row r="4">
      <c r="A4" s="17" t="n"/>
      <c r="L4" s="15" t="n"/>
    </row>
    <row r="5">
      <c r="A5" s="55" t="inlineStr">
        <is>
          <t>1. SUBJECT COMPANY METRICS (for applying multiples)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  <c r="J5" s="72" t="n"/>
      <c r="K5" s="72" t="n"/>
      <c r="L5" s="62" t="n"/>
    </row>
    <row r="6">
      <c r="A6" s="17" t="inlineStr">
        <is>
          <t>Subject Company Revenue (latest year, in template units)</t>
        </is>
      </c>
      <c r="B6" s="58" t="n"/>
      <c r="L6" s="15" t="n"/>
    </row>
    <row r="7">
      <c r="A7" s="17" t="inlineStr">
        <is>
          <t>Subject Company EBITDA (latest year)</t>
        </is>
      </c>
      <c r="B7" s="58" t="n"/>
      <c r="L7" s="15" t="n"/>
    </row>
    <row r="8">
      <c r="A8" s="17" t="inlineStr">
        <is>
          <t>Subject Company EBIT (latest year)</t>
        </is>
      </c>
      <c r="B8" s="58" t="n"/>
      <c r="L8" s="15" t="n"/>
    </row>
    <row r="9">
      <c r="A9" s="17" t="inlineStr">
        <is>
          <t>Subject Company PAT (latest year)</t>
        </is>
      </c>
      <c r="B9" s="58" t="n"/>
      <c r="L9" s="15" t="n"/>
    </row>
    <row r="10">
      <c r="A10" s="17" t="inlineStr">
        <is>
          <t>Subject Company Book Value of Equity (latest year)</t>
        </is>
      </c>
      <c r="B10" s="58" t="n"/>
      <c r="L10" s="15" t="n"/>
    </row>
    <row r="11">
      <c r="A11" s="17" t="n"/>
      <c r="L11" s="15" t="n"/>
    </row>
    <row r="12">
      <c r="A12" s="55" t="inlineStr">
        <is>
          <t>2. COMPARABLE COMPANIES TABLE</t>
        </is>
      </c>
      <c r="B12" s="72" t="n"/>
      <c r="C12" s="72" t="n"/>
      <c r="D12" s="72" t="n"/>
      <c r="E12" s="72" t="n"/>
      <c r="F12" s="72" t="n"/>
      <c r="G12" s="72" t="n"/>
      <c r="H12" s="72" t="n"/>
      <c r="I12" s="72" t="n"/>
      <c r="J12" s="72" t="n"/>
      <c r="K12" s="72" t="n"/>
      <c r="L12" s="62" t="n"/>
    </row>
    <row r="13" ht="45" customFormat="1" customHeight="1" s="73">
      <c r="A13" s="79" t="inlineStr">
        <is>
          <t>S.No.</t>
        </is>
      </c>
      <c r="B13" s="79" t="inlineStr">
        <is>
          <t>Company Name</t>
        </is>
      </c>
      <c r="C13" s="79" t="inlineStr">
        <is>
          <t>Stock Exchange Symbol</t>
        </is>
      </c>
      <c r="D13" s="79" t="inlineStr">
        <is>
          <t>Industry / Sub-sector</t>
        </is>
      </c>
      <c r="E13" s="79" t="inlineStr">
        <is>
          <t>Market Cap 
(₹ Cr)</t>
        </is>
      </c>
      <c r="F13" s="79" t="inlineStr">
        <is>
          <t>Enterprise Value 
(₹ Cr)</t>
        </is>
      </c>
      <c r="G13" s="79" t="inlineStr">
        <is>
          <t>EV/Revenue</t>
        </is>
      </c>
      <c r="H13" s="79" t="inlineStr">
        <is>
          <t>EV/EBITDA</t>
        </is>
      </c>
      <c r="I13" s="79" t="inlineStr">
        <is>
          <t>EV/EBIT</t>
        </is>
      </c>
      <c r="J13" s="79" t="inlineStr">
        <is>
          <t>P/E</t>
        </is>
      </c>
      <c r="K13" s="78" t="inlineStr">
        <is>
          <t>P/B</t>
        </is>
      </c>
      <c r="L13" s="79" t="inlineStr">
        <is>
          <t>Selection Justification</t>
        </is>
      </c>
    </row>
    <row r="14">
      <c r="A14" s="71" t="n">
        <v>1</v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1" t="n"/>
      <c r="L14" s="66" t="n"/>
    </row>
    <row r="15">
      <c r="A15" s="71" t="n">
        <v>2</v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58" t="n"/>
      <c r="L15" s="19" t="n"/>
    </row>
    <row r="16">
      <c r="A16" s="71" t="n">
        <v>3</v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58" t="n"/>
      <c r="L16" s="19" t="n"/>
    </row>
    <row r="17">
      <c r="A17" s="71" t="n">
        <v>4</v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58" t="n"/>
      <c r="L17" s="19" t="n"/>
    </row>
    <row r="18">
      <c r="A18" s="71" t="n">
        <v>5</v>
      </c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58" t="n"/>
      <c r="L18" s="19" t="n"/>
    </row>
    <row r="19">
      <c r="A19" s="71" t="n">
        <v>6</v>
      </c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58" t="n"/>
      <c r="L19" s="19" t="n"/>
    </row>
    <row r="20">
      <c r="A20" s="71" t="n">
        <v>7</v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58" t="n"/>
      <c r="L20" s="19" t="n"/>
    </row>
    <row r="21">
      <c r="A21" s="71" t="n">
        <v>8</v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58" t="n"/>
      <c r="L21" s="19" t="n"/>
    </row>
    <row r="22" customFormat="1" s="111">
      <c r="A22" s="112" t="inlineStr">
        <is>
          <t>Median</t>
        </is>
      </c>
      <c r="B22" s="113" t="n"/>
      <c r="C22" s="113" t="n"/>
      <c r="D22" s="113" t="n"/>
      <c r="E22" s="113" t="n"/>
      <c r="F22" s="114" t="n"/>
      <c r="G22" s="115">
        <f>IFERROR(MEDIAN(G14:G21),0)</f>
        <v/>
      </c>
      <c r="H22" s="115">
        <f>IFERROR(MEDIAN(H14:H21),0)</f>
        <v/>
      </c>
      <c r="I22" s="115">
        <f>IFERROR(MEDIAN(I14:I21),0)</f>
        <v/>
      </c>
      <c r="J22" s="115">
        <f>IFERROR(MEDIAN(J14:J21),0)</f>
        <v/>
      </c>
      <c r="K22" s="115">
        <f>IFERROR(MEDIAN(K14:K21),0)</f>
        <v/>
      </c>
      <c r="L22" s="116" t="n"/>
    </row>
    <row r="23">
      <c r="A23" s="17" t="n"/>
      <c r="L23" s="15" t="n"/>
    </row>
    <row r="24">
      <c r="A24" s="55" t="inlineStr">
        <is>
          <t>3. MULTIPLE SELECTION &amp; ADJUSTMENT</t>
        </is>
      </c>
      <c r="B24" s="72" t="n"/>
      <c r="C24" s="72" t="n"/>
      <c r="D24" s="72" t="n"/>
      <c r="E24" s="72" t="n"/>
      <c r="F24" s="72" t="n"/>
      <c r="G24" s="72" t="n"/>
      <c r="H24" s="72" t="n"/>
      <c r="I24" s="72" t="n"/>
      <c r="J24" s="72" t="n"/>
      <c r="K24" s="72" t="n"/>
      <c r="L24" s="62" t="n"/>
    </row>
    <row r="25">
      <c r="A25" s="17" t="inlineStr">
        <is>
          <t>Primary Multiple to Use</t>
        </is>
      </c>
      <c r="B25" s="61" t="inlineStr">
        <is>
          <t>EV/EBITDA</t>
        </is>
      </c>
      <c r="L25" s="15" t="n"/>
    </row>
    <row r="26">
      <c r="A26" s="17" t="inlineStr">
        <is>
          <t>Multiple Statistic</t>
        </is>
      </c>
      <c r="B26" s="61" t="inlineStr">
        <is>
          <t>Median</t>
        </is>
      </c>
      <c r="L26" s="15" t="n"/>
    </row>
    <row r="27">
      <c r="A27" s="17" t="inlineStr">
        <is>
          <t>Custom Multiple Value (used only if "Custom" selected above)</t>
        </is>
      </c>
      <c r="B27" s="58" t="n"/>
      <c r="L27" s="15" t="n"/>
    </row>
    <row r="28">
      <c r="A28" s="17" t="n"/>
      <c r="L28" s="15" t="n"/>
    </row>
    <row r="29">
      <c r="A29" s="17" t="inlineStr">
        <is>
          <t>Discount for Lack of Marketability on CCM (%)</t>
        </is>
      </c>
      <c r="B29" s="58" t="n"/>
      <c r="L29" s="15" t="n"/>
    </row>
    <row r="30" ht="30" customHeight="1" s="57">
      <c r="A30" s="45" t="inlineStr">
        <is>
          <t>(Higher DLOM typically applied to CCM as multiples derive from listed liquid peers)</t>
        </is>
      </c>
      <c r="L30" s="15" t="n"/>
    </row>
    <row r="31">
      <c r="A31" s="17" t="inlineStr">
        <is>
          <t>Justification for DLOM</t>
        </is>
      </c>
      <c r="B31" s="58" t="n"/>
      <c r="L31" s="15" t="n"/>
    </row>
    <row r="32">
      <c r="A32" s="17" t="n"/>
      <c r="L32" s="15" t="n"/>
    </row>
    <row r="33">
      <c r="A33" s="55" t="inlineStr">
        <is>
          <t>Reference Information for User</t>
        </is>
      </c>
      <c r="B33" s="72" t="n"/>
      <c r="C33" s="72" t="n"/>
      <c r="D33" s="72" t="n"/>
      <c r="E33" s="72" t="n"/>
      <c r="F33" s="72" t="n"/>
      <c r="G33" s="72" t="n"/>
      <c r="H33" s="72" t="n"/>
      <c r="I33" s="72" t="n"/>
      <c r="J33" s="72" t="n"/>
      <c r="K33" s="72" t="n"/>
      <c r="L33" s="62" t="n"/>
    </row>
    <row r="34">
      <c r="A34" s="17" t="inlineStr">
        <is>
          <t>Recommended sources for peer data</t>
        </is>
      </c>
      <c r="L34" s="15" t="n"/>
    </row>
    <row r="35">
      <c r="A35" s="17" t="inlineStr">
        <is>
          <t>1. NSE / BSE - For market cap and listed peer financials</t>
        </is>
      </c>
      <c r="L35" s="15" t="n"/>
    </row>
    <row r="36">
      <c r="A36" s="17" t="inlineStr">
        <is>
          <t>2. Aswath Damodaran (NYU Stern) - For industry beta and sector multiples</t>
        </is>
      </c>
      <c r="L36" s="15" t="n"/>
    </row>
    <row r="37">
      <c r="A37" s="46" t="inlineStr">
        <is>
          <t>3. Capitaline / Bloomberg / S&amp;P Capital IQ - For curated multiples</t>
        </is>
      </c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47" t="n"/>
    </row>
  </sheetData>
  <mergeCells count="2">
    <mergeCell ref="A22:F22"/>
    <mergeCell ref="A1:L1"/>
  </mergeCells>
  <dataValidations count="2">
    <dataValidation sqref="B25" showDropDown="0" showInputMessage="1" showErrorMessage="1" allowBlank="1" type="list">
      <formula1>"EV/Revenue, EV/EBITDA,  EV/EBIT, P/E , P/B"</formula1>
    </dataValidation>
    <dataValidation sqref="B26" showDropDown="0" showInputMessage="1" showErrorMessage="1" allowBlank="1" type="list">
      <formula1>"Median, Mean, Custom"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2026-05-01T14:44:33Z</dcterms:modified>
</cp:coreProperties>
</file>