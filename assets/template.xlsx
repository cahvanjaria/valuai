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Cover" sheetId="1" r:id="rId1"/>
    <sheet name="Historical_PL" sheetId="2" r:id="rId2"/>
    <sheet name="Historical_BS" sheetId="3" r:id="rId3"/>
    <sheet name="Projections" sheetId="4" r:id="rId4"/>
    <sheet name="WACC_Inputs" sheetId="5" r:id="rId5"/>
    <sheet name="Other_Inputs" sheetId="6" r:id="rId6"/>
    <sheet name="Comparables" sheetId="7" r:id="rId7"/>
  </sheets>
  <calcPr calcId="145621"/>
</workbook>
</file>

<file path=xl/calcChain.xml><?xml version="1.0" encoding="utf-8"?>
<calcChain xmlns="http://schemas.openxmlformats.org/spreadsheetml/2006/main">
  <c r="K22" i="7" l="1"/>
  <c r="J22" i="7"/>
  <c r="I22" i="7"/>
  <c r="H22" i="7"/>
  <c r="G22" i="7"/>
  <c r="B47" i="6"/>
  <c r="B46" i="6"/>
  <c r="B45" i="6"/>
  <c r="B44" i="6"/>
  <c r="B43" i="6"/>
  <c r="B39" i="6"/>
  <c r="B4" i="6"/>
  <c r="B29" i="5"/>
  <c r="B23" i="5"/>
  <c r="B24" i="5" s="1"/>
  <c r="B33" i="5" s="1"/>
  <c r="B10" i="5"/>
  <c r="B15" i="5" s="1"/>
  <c r="B32" i="5" s="1"/>
  <c r="B34" i="5" s="1"/>
  <c r="L52" i="4"/>
  <c r="K52" i="4"/>
  <c r="J52" i="4"/>
  <c r="I52" i="4"/>
  <c r="H52" i="4"/>
  <c r="G52" i="4"/>
  <c r="F52" i="4"/>
  <c r="E52" i="4"/>
  <c r="D52" i="4"/>
  <c r="C52" i="4"/>
  <c r="B52" i="4"/>
  <c r="L50" i="4" l="1"/>
  <c r="K50" i="4"/>
  <c r="J50" i="4"/>
  <c r="I50" i="4"/>
  <c r="H50" i="4"/>
  <c r="G50" i="4"/>
  <c r="F50" i="4"/>
  <c r="E50" i="4"/>
  <c r="D50" i="4"/>
  <c r="C50" i="4"/>
  <c r="B50" i="4"/>
  <c r="L49" i="4"/>
  <c r="K49" i="4"/>
  <c r="J49" i="4"/>
  <c r="I49" i="4"/>
  <c r="H49" i="4"/>
  <c r="G49" i="4"/>
  <c r="F49" i="4"/>
  <c r="E49" i="4"/>
  <c r="D49" i="4"/>
  <c r="C49" i="4"/>
  <c r="B49" i="4"/>
  <c r="L43" i="4"/>
  <c r="K43" i="4"/>
  <c r="J43" i="4"/>
  <c r="I43" i="4"/>
  <c r="H43" i="4"/>
  <c r="G43" i="4"/>
  <c r="F43" i="4"/>
  <c r="E43" i="4"/>
  <c r="D43" i="4"/>
  <c r="C43" i="4"/>
  <c r="L42" i="4"/>
  <c r="K42" i="4"/>
  <c r="J42" i="4"/>
  <c r="I42" i="4"/>
  <c r="H42" i="4"/>
  <c r="G42" i="4"/>
  <c r="F42" i="4"/>
  <c r="E42" i="4"/>
  <c r="D42" i="4"/>
  <c r="C42" i="4"/>
  <c r="B43" i="4"/>
  <c r="B42" i="4"/>
  <c r="L41" i="4"/>
  <c r="K41" i="4"/>
  <c r="J41" i="4"/>
  <c r="I41" i="4"/>
  <c r="H41" i="4"/>
  <c r="G41" i="4"/>
  <c r="F41" i="4"/>
  <c r="E41" i="4"/>
  <c r="D41" i="4"/>
  <c r="C41" i="4"/>
  <c r="B41" i="4"/>
  <c r="B36" i="4"/>
  <c r="B48" i="4" s="1"/>
  <c r="B33" i="4"/>
  <c r="C30" i="4" s="1"/>
  <c r="L22" i="4"/>
  <c r="D22" i="4"/>
  <c r="B14" i="4"/>
  <c r="C14" i="4"/>
  <c r="D14" i="4"/>
  <c r="E14" i="4"/>
  <c r="F14" i="4"/>
  <c r="G14" i="4"/>
  <c r="H14" i="4"/>
  <c r="I14" i="4"/>
  <c r="J14" i="4"/>
  <c r="K14" i="4"/>
  <c r="L14" i="4"/>
  <c r="L9" i="4"/>
  <c r="L16" i="4" s="1"/>
  <c r="L18" i="4" s="1"/>
  <c r="L23" i="4" s="1"/>
  <c r="L40" i="4" s="1"/>
  <c r="L44" i="4" s="1"/>
  <c r="L47" i="4" s="1"/>
  <c r="K9" i="4"/>
  <c r="K16" i="4" s="1"/>
  <c r="K18" i="4" s="1"/>
  <c r="K22" i="4" s="1"/>
  <c r="J9" i="4"/>
  <c r="J16" i="4" s="1"/>
  <c r="J18" i="4" s="1"/>
  <c r="I9" i="4"/>
  <c r="H9" i="4"/>
  <c r="G9" i="4"/>
  <c r="F9" i="4"/>
  <c r="E9" i="4"/>
  <c r="D9" i="4"/>
  <c r="D16" i="4" s="1"/>
  <c r="D18" i="4" s="1"/>
  <c r="D23" i="4" s="1"/>
  <c r="D40" i="4" s="1"/>
  <c r="D44" i="4" s="1"/>
  <c r="D47" i="4" s="1"/>
  <c r="C9" i="4"/>
  <c r="B9" i="4"/>
  <c r="B44" i="1"/>
  <c r="J22" i="4" l="1"/>
  <c r="J23" i="4"/>
  <c r="J40" i="4" s="1"/>
  <c r="J44" i="4" s="1"/>
  <c r="J47" i="4" s="1"/>
  <c r="C33" i="4"/>
  <c r="D30" i="4" s="1"/>
  <c r="C36" i="4"/>
  <c r="C48" i="4" s="1"/>
  <c r="K23" i="4"/>
  <c r="K40" i="4" s="1"/>
  <c r="K44" i="4" s="1"/>
  <c r="K47" i="4" s="1"/>
  <c r="H16" i="4"/>
  <c r="H18" i="4" s="1"/>
  <c r="I16" i="4"/>
  <c r="I18" i="4" s="1"/>
  <c r="E16" i="4"/>
  <c r="E18" i="4" s="1"/>
  <c r="F16" i="4"/>
  <c r="F18" i="4" s="1"/>
  <c r="G16" i="4"/>
  <c r="G18" i="4" s="1"/>
  <c r="B16" i="4"/>
  <c r="B18" i="4" s="1"/>
  <c r="C16" i="4"/>
  <c r="C18" i="4" s="1"/>
  <c r="F48" i="3"/>
  <c r="F50" i="3" s="1"/>
  <c r="E48" i="3"/>
  <c r="E50" i="3" s="1"/>
  <c r="D48" i="3"/>
  <c r="D50" i="3" s="1"/>
  <c r="C48" i="3"/>
  <c r="C50" i="3" s="1"/>
  <c r="B48" i="3"/>
  <c r="B50" i="3" s="1"/>
  <c r="F38" i="3"/>
  <c r="E38" i="3"/>
  <c r="D38" i="3"/>
  <c r="C38" i="3"/>
  <c r="B38" i="3"/>
  <c r="D26" i="3"/>
  <c r="D52" i="3" s="1"/>
  <c r="F24" i="3"/>
  <c r="E24" i="3"/>
  <c r="D24" i="3"/>
  <c r="C24" i="3"/>
  <c r="C26" i="3" s="1"/>
  <c r="C52" i="3" s="1"/>
  <c r="B24" i="3"/>
  <c r="B26" i="3" s="1"/>
  <c r="B52" i="3" s="1"/>
  <c r="F17" i="3"/>
  <c r="F26" i="3" s="1"/>
  <c r="F52" i="3" s="1"/>
  <c r="E17" i="3"/>
  <c r="D17" i="3"/>
  <c r="C17" i="3"/>
  <c r="B17" i="3"/>
  <c r="C10" i="3"/>
  <c r="D10" i="3"/>
  <c r="E10" i="3"/>
  <c r="E26" i="3" s="1"/>
  <c r="F10" i="3"/>
  <c r="B10" i="3"/>
  <c r="F23" i="2"/>
  <c r="E23" i="2"/>
  <c r="D23" i="2"/>
  <c r="C23" i="2"/>
  <c r="B23" i="2"/>
  <c r="F21" i="2"/>
  <c r="E21" i="2"/>
  <c r="D21" i="2"/>
  <c r="C21" i="2"/>
  <c r="B21" i="2"/>
  <c r="F19" i="2"/>
  <c r="E19" i="2"/>
  <c r="D19" i="2"/>
  <c r="C19" i="2"/>
  <c r="B19" i="2"/>
  <c r="F17" i="2"/>
  <c r="E17" i="2"/>
  <c r="D17" i="2"/>
  <c r="C17" i="2"/>
  <c r="B17" i="2"/>
  <c r="F15" i="2"/>
  <c r="E15" i="2"/>
  <c r="D15" i="2"/>
  <c r="C15" i="2"/>
  <c r="B15" i="2"/>
  <c r="F9" i="2"/>
  <c r="E9" i="2"/>
  <c r="D9" i="2"/>
  <c r="C9" i="2"/>
  <c r="B9" i="2"/>
  <c r="I22" i="4" l="1"/>
  <c r="I23" i="4" s="1"/>
  <c r="I40" i="4" s="1"/>
  <c r="I44" i="4" s="1"/>
  <c r="I47" i="4" s="1"/>
  <c r="H22" i="4"/>
  <c r="H23" i="4" s="1"/>
  <c r="H40" i="4" s="1"/>
  <c r="H44" i="4" s="1"/>
  <c r="H47" i="4" s="1"/>
  <c r="E22" i="4"/>
  <c r="E23" i="4" s="1"/>
  <c r="E40" i="4" s="1"/>
  <c r="E44" i="4" s="1"/>
  <c r="E47" i="4" s="1"/>
  <c r="C22" i="4"/>
  <c r="C23" i="4"/>
  <c r="C40" i="4" s="1"/>
  <c r="C44" i="4" s="1"/>
  <c r="C47" i="4" s="1"/>
  <c r="B22" i="4"/>
  <c r="B23" i="4"/>
  <c r="B40" i="4" s="1"/>
  <c r="B44" i="4" s="1"/>
  <c r="B47" i="4" s="1"/>
  <c r="D33" i="4"/>
  <c r="E30" i="4" s="1"/>
  <c r="D36" i="4"/>
  <c r="D48" i="4" s="1"/>
  <c r="G22" i="4"/>
  <c r="G23" i="4" s="1"/>
  <c r="G40" i="4" s="1"/>
  <c r="G44" i="4" s="1"/>
  <c r="G47" i="4" s="1"/>
  <c r="F22" i="4"/>
  <c r="F23" i="4" s="1"/>
  <c r="F40" i="4" s="1"/>
  <c r="F44" i="4" s="1"/>
  <c r="F47" i="4" s="1"/>
  <c r="E52" i="3"/>
  <c r="E33" i="4" l="1"/>
  <c r="F30" i="4" s="1"/>
  <c r="F33" i="4" l="1"/>
  <c r="G30" i="4" s="1"/>
  <c r="E36" i="4"/>
  <c r="E48" i="4" s="1"/>
  <c r="G33" i="4" l="1"/>
  <c r="H30" i="4" s="1"/>
  <c r="G36" i="4"/>
  <c r="G48" i="4" s="1"/>
  <c r="F36" i="4"/>
  <c r="F48" i="4" s="1"/>
  <c r="H33" i="4" l="1"/>
  <c r="I30" i="4" s="1"/>
  <c r="H36" i="4"/>
  <c r="H48" i="4" s="1"/>
  <c r="I33" i="4" l="1"/>
  <c r="J30" i="4" s="1"/>
  <c r="I36" i="4"/>
  <c r="I48" i="4" s="1"/>
  <c r="J33" i="4" l="1"/>
  <c r="K30" i="4" s="1"/>
  <c r="J36" i="4"/>
  <c r="J48" i="4" s="1"/>
  <c r="K33" i="4" l="1"/>
  <c r="L30" i="4" s="1"/>
  <c r="K36" i="4"/>
  <c r="K48" i="4" s="1"/>
  <c r="L33" i="4" l="1"/>
  <c r="L36" i="4"/>
  <c r="L48" i="4" s="1"/>
</calcChain>
</file>

<file path=xl/comments1.xml><?xml version="1.0" encoding="utf-8"?>
<comments xmlns="http://schemas.openxmlformats.org/spreadsheetml/2006/main">
  <authors>
    <author>Author</author>
  </authors>
  <commentList>
    <comment ref="A29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Include redeemable preference shares, compulsorily convertible debentures, and other quasi-debt instruments in this schedule. Treat their redemption as Principal Repayment.</t>
        </r>
      </text>
    </comment>
  </commentList>
</comments>
</file>

<file path=xl/sharedStrings.xml><?xml version="1.0" encoding="utf-8"?>
<sst xmlns="http://schemas.openxmlformats.org/spreadsheetml/2006/main" count="305" uniqueCount="279">
  <si>
    <t>Yellow = User Input Required</t>
  </si>
  <si>
    <t>Blue = Section Header</t>
  </si>
  <si>
    <t>VALUAI - VALUATION INPUT TEMPLATE</t>
  </si>
  <si>
    <t>IBBI Valuer Details</t>
  </si>
  <si>
    <t>Valuer Name</t>
  </si>
  <si>
    <t>IBBI Registration No.</t>
  </si>
  <si>
    <t>Asset Class</t>
  </si>
  <si>
    <t>Valuer Address</t>
  </si>
  <si>
    <t>Engagement Details</t>
  </si>
  <si>
    <t>Client Company Name</t>
  </si>
  <si>
    <t>Client CIN</t>
  </si>
  <si>
    <t>Client Registered Address</t>
  </si>
  <si>
    <t>Date of Appointment</t>
  </si>
  <si>
    <t>Valuation Date</t>
  </si>
  <si>
    <t>Date of Report</t>
  </si>
  <si>
    <t>Purpose of Valuation</t>
  </si>
  <si>
    <t>Statutory Reference</t>
  </si>
  <si>
    <t>Securities or Financial Assets</t>
  </si>
  <si>
    <t>Valuation Standards Applied</t>
  </si>
  <si>
    <t>Base of Value</t>
  </si>
  <si>
    <t>Premise of Value</t>
  </si>
  <si>
    <t>Valuation Standard Reference</t>
  </si>
  <si>
    <t>Currency and Units</t>
  </si>
  <si>
    <t>Reporting Currency</t>
  </si>
  <si>
    <t>Units</t>
  </si>
  <si>
    <t>Millions</t>
  </si>
  <si>
    <t>Period Configuration</t>
  </si>
  <si>
    <t>Number of Historical Years (2 to 5)</t>
  </si>
  <si>
    <t>Number of Forecast Years (5 to 10)</t>
  </si>
  <si>
    <t>Stub Period Required? (Yes/No)</t>
  </si>
  <si>
    <t>If Yes, Stub Period Months</t>
  </si>
  <si>
    <t>No</t>
  </si>
  <si>
    <t>Methodology Toggles</t>
  </si>
  <si>
    <t>Discounting Convention</t>
  </si>
  <si>
    <t>WACC Input Mode</t>
  </si>
  <si>
    <t>Terminal Value Method</t>
  </si>
  <si>
    <t>Mid-Year</t>
  </si>
  <si>
    <t>CAPM Build-up</t>
  </si>
  <si>
    <t>Gordon Growth</t>
  </si>
  <si>
    <t>LEGEND</t>
  </si>
  <si>
    <t>Light Grey = Computed / Reference</t>
  </si>
  <si>
    <t>Fair Value</t>
  </si>
  <si>
    <t>Going Concern</t>
  </si>
  <si>
    <t>ICAI VS / IBBI VS / IVS 105</t>
  </si>
  <si>
    <t>INR</t>
  </si>
  <si>
    <t>Harshal Vibhakar Anjaria</t>
  </si>
  <si>
    <t>IBBI/RV/03/2026/16120</t>
  </si>
  <si>
    <t>A-23, Sharnam-9, Bh Satyam Status, Jodhpur Gam Road, Ramdevnagar, Ahmedabad- 380054</t>
  </si>
  <si>
    <t>HISTORICAL PROFIT &amp; LOSS STATEMENT</t>
  </si>
  <si>
    <t>Particulars</t>
  </si>
  <si>
    <t>FY-4</t>
  </si>
  <si>
    <t>FY-3</t>
  </si>
  <si>
    <t>FY-2</t>
  </si>
  <si>
    <t>FY-1</t>
  </si>
  <si>
    <t>FY-0 (Latest)</t>
  </si>
  <si>
    <t>Year Ending Date</t>
  </si>
  <si>
    <t>REVENUE</t>
  </si>
  <si>
    <t>Revenue from Operations</t>
  </si>
  <si>
    <t>Other Income</t>
  </si>
  <si>
    <t>Total Revenue</t>
  </si>
  <si>
    <t>COSTS AND EXPENSES</t>
  </si>
  <si>
    <t>Cost of Goods Sold / Variable Cost</t>
  </si>
  <si>
    <t>Employee Benefits Expense</t>
  </si>
  <si>
    <t>Other Operating Expenses</t>
  </si>
  <si>
    <t>Total Operating Costs</t>
  </si>
  <si>
    <t>EBITDA</t>
  </si>
  <si>
    <t>Depreciation and Amortisation</t>
  </si>
  <si>
    <t>EBIT</t>
  </si>
  <si>
    <t>Finance Cost / Interest Expense</t>
  </si>
  <si>
    <t>Profit Before Tax (PBT)</t>
  </si>
  <si>
    <t>Tax Expense</t>
  </si>
  <si>
    <t>Profit After Tax (PAT)</t>
  </si>
  <si>
    <t>HISTORICAL BALANCE SHEET</t>
  </si>
  <si>
    <t>As on Date</t>
  </si>
  <si>
    <t>EQUITY AND LIABILITIES</t>
  </si>
  <si>
    <t>Shareholders' Funds</t>
  </si>
  <si>
    <t>Equity Share Capital</t>
  </si>
  <si>
    <t>Reserves and Surplus</t>
  </si>
  <si>
    <t>Total Shareholders' Funds</t>
  </si>
  <si>
    <t>Preference Share Capital (if any)</t>
  </si>
  <si>
    <t>Non-Current Liabilities</t>
  </si>
  <si>
    <t>Long-term Borrowings</t>
  </si>
  <si>
    <t>Deferred Tax Liabilities (Net)</t>
  </si>
  <si>
    <t>Other Non-Current Liabilities</t>
  </si>
  <si>
    <t>Total Non-Current Liabilities</t>
  </si>
  <si>
    <t>Current Liabilities</t>
  </si>
  <si>
    <t>Short-term Borrowings</t>
  </si>
  <si>
    <t>Trade Payables</t>
  </si>
  <si>
    <t>Other Current Liabilities</t>
  </si>
  <si>
    <t>Short-term Provisions</t>
  </si>
  <si>
    <t>Total Current Liabilities</t>
  </si>
  <si>
    <t>TOTAL EQUITY AND LIABILITIES</t>
  </si>
  <si>
    <t>ASSETS</t>
  </si>
  <si>
    <t>Non-Current Assets</t>
  </si>
  <si>
    <t>Property, Plant and Equipment (Net)</t>
  </si>
  <si>
    <t>Capital Work-in-Progress</t>
  </si>
  <si>
    <t>Intangible Assets</t>
  </si>
  <si>
    <t>Long-term Loans and Advances</t>
  </si>
  <si>
    <t>Other Non-Current Assets</t>
  </si>
  <si>
    <t>Non-Current Investments</t>
  </si>
  <si>
    <t>Deferred Tax Assets (Net)</t>
  </si>
  <si>
    <t>Total Non-Current Assets</t>
  </si>
  <si>
    <t>Current Assets</t>
  </si>
  <si>
    <t>Current Investments</t>
  </si>
  <si>
    <t>Inventories</t>
  </si>
  <si>
    <t>Trade Receivables</t>
  </si>
  <si>
    <t>Cash and Cash Equivalents</t>
  </si>
  <si>
    <t>Bank Balances (other than Cash &amp; Equiv.)</t>
  </si>
  <si>
    <t>Short-term Loans and Advances</t>
  </si>
  <si>
    <t>Other Current Assets</t>
  </si>
  <si>
    <t>Total Current Assets</t>
  </si>
  <si>
    <t>TOTAL ASSETS</t>
  </si>
  <si>
    <t>Tally Check (E&amp;L − Assets)</t>
  </si>
  <si>
    <t>FORECAST FINANCIALS (PROJECTIONS)</t>
  </si>
  <si>
    <t>Stub</t>
  </si>
  <si>
    <t>FY+1</t>
  </si>
  <si>
    <t>FY+2</t>
  </si>
  <si>
    <t>FY+3</t>
  </si>
  <si>
    <t>FY+4</t>
  </si>
  <si>
    <t>FY+5</t>
  </si>
  <si>
    <t>FY+6</t>
  </si>
  <si>
    <t>FY+7</t>
  </si>
  <si>
    <t>FY+8</t>
  </si>
  <si>
    <t>FY+9</t>
  </si>
  <si>
    <t>FY+10</t>
  </si>
  <si>
    <t>Valuation Use Case</t>
  </si>
  <si>
    <t>Use Case Type</t>
  </si>
  <si>
    <t>Standalone Valuation</t>
  </si>
  <si>
    <t>Investment Amount Being Raised (in template units)</t>
  </si>
  <si>
    <t>Pre-Investment Shares Outstanding (in millions)</t>
  </si>
  <si>
    <t>New Shares to be Issued (in millions)</t>
  </si>
  <si>
    <t>Post-Investment Shares Outstanding (in millions)</t>
  </si>
  <si>
    <t>Discount Rate Method for DCF</t>
  </si>
  <si>
    <t>Run both with reconciliation</t>
  </si>
  <si>
    <t>Reconciliation Tolerance (%)</t>
  </si>
  <si>
    <t>1. PROFIT &amp; LOSS FORECAST</t>
  </si>
  <si>
    <t>2. TAX COMPUTATION</t>
  </si>
  <si>
    <t>Effective Tax Rate (%)</t>
  </si>
  <si>
    <t>Tax on EBIT</t>
  </si>
  <si>
    <t>NOPAT (EBIT × (1 - Tax))</t>
  </si>
  <si>
    <t>3. WORKING CAPITAL &amp; CAPEX</t>
  </si>
  <si>
    <t>Change in Net Working Capital (negative = increase in NWC)</t>
  </si>
  <si>
    <t>Capital Expenditure (enter as negative)</t>
  </si>
  <si>
    <t>Opening Debt Balance</t>
  </si>
  <si>
    <t>New Debt Drawn</t>
  </si>
  <si>
    <t>Principal Repayment (enter as negative)</t>
  </si>
  <si>
    <t>Closing Debt Balance</t>
  </si>
  <si>
    <t>Interest Rate on Debt (%)</t>
  </si>
  <si>
    <t>Interest Expense</t>
  </si>
  <si>
    <t>5. FREE CASH FLOW BUILD-UP (FCFF &amp; FCFE)</t>
  </si>
  <si>
    <t>FCFF Build-up:</t>
  </si>
  <si>
    <t>NOPAT (from Section 2)</t>
  </si>
  <si>
    <t>Add: Depreciation &amp; Amortisation</t>
  </si>
  <si>
    <t>Add/Less: Change in Working Capital</t>
  </si>
  <si>
    <t>Less: Capital Expenditure</t>
  </si>
  <si>
    <t>Free Cash Flow to Firm (FCFF)</t>
  </si>
  <si>
    <t>FCFE Build-up:</t>
  </si>
  <si>
    <t>FCFF (from above)</t>
  </si>
  <si>
    <t>Less: Interest Expense × (1 - Tax)</t>
  </si>
  <si>
    <t>Less: Principal Repayment</t>
  </si>
  <si>
    <t>Add: New Debt Drawn</t>
  </si>
  <si>
    <t>Free Cash Flow to Equity (FCFE)</t>
  </si>
  <si>
    <t>6. EQUITY BRIDGE ITEMS (as on Valuation Date)</t>
  </si>
  <si>
    <t>Total Debt (Long-term + Short-term)</t>
  </si>
  <si>
    <t>Preference Share Capital</t>
  </si>
  <si>
    <t>Other Equity Bridge Adjustments (specify in notes)</t>
  </si>
  <si>
    <t>7. SHARE INFORMATION</t>
  </si>
  <si>
    <t>Number of Equity Shares Outstanding (in millions)</t>
  </si>
  <si>
    <t>Face Value per Share (INR)</t>
  </si>
  <si>
    <t>DEBT &amp; QUASI-DEBT SCHEDULE</t>
  </si>
  <si>
    <t>Other FCFE Adjustments (manual override — see notes)</t>
  </si>
  <si>
    <t>WACC INPUTS - COST OF CAPITAL BUILD-UP</t>
  </si>
  <si>
    <t>Note: WACC may be computed once (flat across forecast years) or year-by-year (reflecting changing capital structure). Default is flat.</t>
  </si>
  <si>
    <t>Risk-Free Rate (Rf) — 10-Year G-Sec Yield (%)</t>
  </si>
  <si>
    <t>Equity Risk Premium (ERP, Rm-Rf) (%)</t>
  </si>
  <si>
    <t>Re-levered Beta (β)</t>
  </si>
  <si>
    <t>Base Cost of Equity per CAPM = Rf + β × ERP (%)</t>
  </si>
  <si>
    <t>Company-Specific Risk Premium (CSRP) (%)</t>
  </si>
  <si>
    <t>(CSRP for unlisted/small companies typically 5%-15%)</t>
  </si>
  <si>
    <t>Adjusted Cost of Equity (Ke) = Base CAPM + CSRP (%)</t>
  </si>
  <si>
    <t>Industry Source for Beta
(default: Aswath Damodaran (NYU Stern))</t>
  </si>
  <si>
    <t>2. DIRECT Ke OVERRIDE (used only if "Direct Ke" selected on Cover sheet)</t>
  </si>
  <si>
    <t>Direct Cost of Equity (%)</t>
  </si>
  <si>
    <t>(If 0 or blank, ValuAI uses CAPM build-up above. Otherwise, Direct Ke overrides.)</t>
  </si>
  <si>
    <t>3. COST OF DEBT (Kd)</t>
  </si>
  <si>
    <t>Pre-Tax Cost of Debt (%)</t>
  </si>
  <si>
    <t>Post-Tax Cost of Debt = Kd × (1 - Tax) (%)</t>
  </si>
  <si>
    <t>4. CAPITAL STRUCTURE WEIGHTS</t>
  </si>
  <si>
    <t>Weight of Equity (We) (%)</t>
  </si>
  <si>
    <t>Weight of Debt (Wd) (%)</t>
  </si>
  <si>
    <t>Total (must equal 100%)</t>
  </si>
  <si>
    <t>5. WEIGHTED AVERAGE COST OF CAPITAL (WACC)</t>
  </si>
  <si>
    <t>Effective Ke (auto: CAPM if Direct = 0, else Direct)</t>
  </si>
  <si>
    <t>Effective Kd (post-tax)</t>
  </si>
  <si>
    <t>WACC (Equity Component + Debt Component) (%)</t>
  </si>
  <si>
    <t>6. NOTES AND SOURCES</t>
  </si>
  <si>
    <t>Source for Risk-Free Rate</t>
  </si>
  <si>
    <t>RBI / FBIL 10-Year G-Sec Yield as on Valuation Date</t>
  </si>
  <si>
    <t>Source for Equity Risk Premium</t>
  </si>
  <si>
    <t>Aswath Damodaran, NYU Stern (adamodar@stern.nyu.edu)</t>
  </si>
  <si>
    <t>Source for Industry Beta</t>
  </si>
  <si>
    <t>Aswath Damodaran Industry Beta Tables</t>
  </si>
  <si>
    <t>Justification for CSRP</t>
  </si>
  <si>
    <t>Other Notes</t>
  </si>
  <si>
    <t>1. CAPM BUILD-UP FOR COST OF EQUITY (Ke)</t>
  </si>
  <si>
    <t>OTHER INPUTS - TERMINAL VALUE, SENSITIVITY &amp; MISCELLANEOUS</t>
  </si>
  <si>
    <t>1. TERMINAL VALUE PARAMETERS</t>
  </si>
  <si>
    <t>Terminal Value Method (from Cover sheet)</t>
  </si>
  <si>
    <t>For Gordon Growth Method:</t>
  </si>
  <si>
    <t>Perpetual Growth Rate (g) (%)</t>
  </si>
  <si>
    <t>(Typically 2-6% for India; should not exceed long-term GDP growth)</t>
  </si>
  <si>
    <t>For Exit Multiple Method:</t>
  </si>
  <si>
    <t>Exit EBITDA Multiple (x)</t>
  </si>
  <si>
    <t>2. SENSITIVITY ANALYSIS RANGES (for Tornado Chart)</t>
  </si>
  <si>
    <t>Driver</t>
  </si>
  <si>
    <t>Lower Variation (-)</t>
  </si>
  <si>
    <t>Upper Variation (+)</t>
  </si>
  <si>
    <t>WACC (% absolute change)</t>
  </si>
  <si>
    <t>Terminal Growth Rate (% absolute change)</t>
  </si>
  <si>
    <t>EBIT Margin (% relative change)</t>
  </si>
  <si>
    <t>CAPEX (% relative change)</t>
  </si>
  <si>
    <t>Working Capital Investment (% relative change)</t>
  </si>
  <si>
    <t>Note: WACC and Terminal Growth use absolute % point changes (e.g., ±2 means WACC moves ±2 percentage points). EBIT, CAPEX, WC use relative % changes (e.g., -10 means EBIT margin reduced by 10% of itself).</t>
  </si>
  <si>
    <t>3. DISCOUNT FOR LACK OF MARKETABILITY (DLOM)</t>
  </si>
  <si>
    <t>Apply DLOM? (Yes/No)</t>
  </si>
  <si>
    <t>DLOM Percentage (%)</t>
  </si>
  <si>
    <t>(Typical range: 15-30% for unlisted equity per IBBI / IVS guidance)</t>
  </si>
  <si>
    <t>Justification for DLOM</t>
  </si>
  <si>
    <t>4. DISCOUNT FOR LACK OF CONTROL (DLOC) — Minority Discount</t>
  </si>
  <si>
    <t>Apply DLOC? (Yes/No)</t>
  </si>
  <si>
    <t>DLOC Percentage (%)</t>
  </si>
  <si>
    <t>Justification for DLOC</t>
  </si>
  <si>
    <t>(Typical range: 10-25% for unlisted equity per IBBI / IVS guidance)</t>
  </si>
  <si>
    <t>5. METHOD WEIGHTAGES (for blending multiple methods)</t>
  </si>
  <si>
    <t>DCF (Income Approach) Weight (%)</t>
  </si>
  <si>
    <t>CCM (Market Approach - Comparable Companies) Weight (%)</t>
  </si>
  <si>
    <t>NAV (Cost Approach) Weight (%)</t>
  </si>
  <si>
    <t>Total Weight (must equal 100%)</t>
  </si>
  <si>
    <t>Reasoning for Weights</t>
  </si>
  <si>
    <t>6. PRE-MONEY / POST-MONEY RECONCILIATION</t>
  </si>
  <si>
    <t>Use Case (from Cover sheet)</t>
  </si>
  <si>
    <t>Investment Amount (from Cover sheet)</t>
  </si>
  <si>
    <t>Pre-Investment Shares (from Cover sheet)</t>
  </si>
  <si>
    <t>New Shares Issued (from Cover sheet)</t>
  </si>
  <si>
    <t>Post-Investment Shares (from Cover sheet)</t>
  </si>
  <si>
    <t>(Pre-money valuation = Post-money valuation - Investment Amount)</t>
  </si>
  <si>
    <t>COMPARABLES (FOR MARKET APPROACH - CCM)</t>
  </si>
  <si>
    <t>Note: Enter up to 8 comparable listed companies. The CCM engine will compute median multiples and apply them to the subject company. Selection criteria should be documented for IBBI defensibility.</t>
  </si>
  <si>
    <t>1. SUBJECT COMPANY METRICS (for applying multiples)</t>
  </si>
  <si>
    <t>Subject Company Revenue (latest year, in template units)</t>
  </si>
  <si>
    <t>Subject Company EBITDA (latest year)</t>
  </si>
  <si>
    <t>Subject Company EBIT (latest year)</t>
  </si>
  <si>
    <t>Subject Company PAT (latest year)</t>
  </si>
  <si>
    <t>Subject Company Book Value of Equity (latest year)</t>
  </si>
  <si>
    <t>2. COMPARABLE COMPANIES TABLE</t>
  </si>
  <si>
    <t>S.No.</t>
  </si>
  <si>
    <t>Company Name</t>
  </si>
  <si>
    <t>Stock Exchange Symbol</t>
  </si>
  <si>
    <t>Industry / Sub-sector</t>
  </si>
  <si>
    <t>EV/Revenue</t>
  </si>
  <si>
    <t>EV/EBITDA</t>
  </si>
  <si>
    <t>EV/EBIT</t>
  </si>
  <si>
    <t>P/E</t>
  </si>
  <si>
    <t>P/B</t>
  </si>
  <si>
    <t>Selection Justification</t>
  </si>
  <si>
    <t>Median</t>
  </si>
  <si>
    <t>3. MULTIPLE SELECTION &amp; ADJUSTMENT</t>
  </si>
  <si>
    <t>Primary Multiple to Use</t>
  </si>
  <si>
    <t>Multiple Statistic</t>
  </si>
  <si>
    <t>Custom Multiple Value (used only if "Custom" selected above)</t>
  </si>
  <si>
    <t>Discount for Lack of Marketability on CCM (%)</t>
  </si>
  <si>
    <t>(Higher DLOM typically applied to CCM as multiples derive from listed liquid peers)</t>
  </si>
  <si>
    <t>Reference Information for User</t>
  </si>
  <si>
    <t>Recommended sources for peer data</t>
  </si>
  <si>
    <t>1. NSE / BSE - For market cap and listed peer financials</t>
  </si>
  <si>
    <t>2. Aswath Damodaran (NYU Stern) - For industry beta and sector multiples</t>
  </si>
  <si>
    <t>3. Capitaline / Bloomberg / S&amp;P Capital IQ - For curated multiples</t>
  </si>
  <si>
    <t>Market Cap 
(₹ Cr)</t>
  </si>
  <si>
    <t>Enterprise Value 
(₹ 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</si>
</sst>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dd/mm/yyyy;@"/>
    <numFmt numFmtId="171" formatCode="_ * #,##0.0000_ ;_ * \-#,##0.000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64" fontId="0" fillId="2" borderId="0" xfId="0" applyNumberFormat="1" applyFill="1" applyAlignment="1">
      <alignment horizontal="center"/>
    </xf>
    <xf numFmtId="0" fontId="4" fillId="3" borderId="0" xfId="0" applyFont="1" applyFill="1"/>
    <xf numFmtId="0" fontId="0" fillId="6" borderId="0" xfId="0" applyFill="1"/>
    <xf numFmtId="0" fontId="2" fillId="3" borderId="0" xfId="0" applyFont="1" applyFill="1"/>
    <xf numFmtId="0" fontId="3" fillId="7" borderId="0" xfId="0" applyFont="1" applyFill="1"/>
    <xf numFmtId="0" fontId="0" fillId="2" borderId="0" xfId="0" applyFill="1" applyAlignment="1">
      <alignment horizontal="center" wrapText="1"/>
    </xf>
    <xf numFmtId="0" fontId="0" fillId="0" borderId="0" xfId="0" applyFont="1"/>
    <xf numFmtId="43" fontId="0" fillId="0" borderId="0" xfId="1" applyFont="1"/>
    <xf numFmtId="0" fontId="3" fillId="0" borderId="2" xfId="0" applyFont="1" applyBorder="1"/>
    <xf numFmtId="0" fontId="0" fillId="2" borderId="3" xfId="0" applyFill="1" applyBorder="1"/>
    <xf numFmtId="0" fontId="0" fillId="0" borderId="2" xfId="0" applyBorder="1"/>
    <xf numFmtId="0" fontId="0" fillId="0" borderId="3" xfId="0" applyBorder="1"/>
    <xf numFmtId="43" fontId="0" fillId="0" borderId="3" xfId="1" applyFont="1" applyBorder="1"/>
    <xf numFmtId="0" fontId="0" fillId="0" borderId="2" xfId="0" applyFont="1" applyBorder="1"/>
    <xf numFmtId="43" fontId="0" fillId="2" borderId="3" xfId="1" applyFont="1" applyFill="1" applyBorder="1"/>
    <xf numFmtId="0" fontId="0" fillId="2" borderId="5" xfId="0" applyFill="1" applyBorder="1"/>
    <xf numFmtId="0" fontId="0" fillId="0" borderId="5" xfId="0" applyBorder="1"/>
    <xf numFmtId="43" fontId="0" fillId="0" borderId="5" xfId="1" applyFont="1" applyBorder="1"/>
    <xf numFmtId="43" fontId="0" fillId="2" borderId="5" xfId="1" applyFont="1" applyFill="1" applyBorder="1"/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0" fillId="2" borderId="4" xfId="0" applyFill="1" applyBorder="1"/>
    <xf numFmtId="0" fontId="3" fillId="4" borderId="2" xfId="0" applyFont="1" applyFill="1" applyBorder="1"/>
    <xf numFmtId="0" fontId="3" fillId="9" borderId="2" xfId="0" applyFont="1" applyFill="1" applyBorder="1"/>
    <xf numFmtId="0" fontId="3" fillId="5" borderId="6" xfId="0" applyFont="1" applyFill="1" applyBorder="1"/>
    <xf numFmtId="43" fontId="3" fillId="5" borderId="1" xfId="1" applyFont="1" applyFill="1" applyBorder="1"/>
    <xf numFmtId="43" fontId="3" fillId="5" borderId="7" xfId="1" applyFont="1" applyFill="1" applyBorder="1"/>
    <xf numFmtId="43" fontId="3" fillId="5" borderId="0" xfId="1" applyFont="1" applyFill="1" applyBorder="1"/>
    <xf numFmtId="43" fontId="0" fillId="0" borderId="5" xfId="1" applyFont="1" applyFill="1" applyBorder="1"/>
    <xf numFmtId="0" fontId="0" fillId="0" borderId="1" xfId="0" applyBorder="1"/>
    <xf numFmtId="43" fontId="3" fillId="5" borderId="5" xfId="1" applyFont="1" applyFill="1" applyBorder="1"/>
    <xf numFmtId="43" fontId="0" fillId="2" borderId="1" xfId="1" applyFont="1" applyFill="1" applyBorder="1"/>
    <xf numFmtId="10" fontId="0" fillId="2" borderId="5" xfId="2" applyNumberFormat="1" applyFont="1" applyFill="1" applyBorder="1"/>
    <xf numFmtId="0" fontId="3" fillId="0" borderId="0" xfId="0" applyFont="1"/>
    <xf numFmtId="0" fontId="0" fillId="0" borderId="9" xfId="0" applyBorder="1"/>
    <xf numFmtId="43" fontId="0" fillId="2" borderId="10" xfId="1" applyFont="1" applyFill="1" applyBorder="1"/>
    <xf numFmtId="0" fontId="2" fillId="3" borderId="1" xfId="0" applyFont="1" applyFill="1" applyBorder="1" applyAlignment="1">
      <alignment horizontal="left"/>
    </xf>
    <xf numFmtId="43" fontId="2" fillId="3" borderId="1" xfId="1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8" fillId="0" borderId="0" xfId="0" applyFont="1"/>
    <xf numFmtId="0" fontId="0" fillId="0" borderId="2" xfId="0" applyBorder="1" applyAlignment="1">
      <alignment wrapText="1"/>
    </xf>
    <xf numFmtId="0" fontId="0" fillId="0" borderId="13" xfId="0" applyBorder="1"/>
    <xf numFmtId="0" fontId="0" fillId="0" borderId="14" xfId="0" applyBorder="1"/>
    <xf numFmtId="10" fontId="1" fillId="5" borderId="5" xfId="2" applyNumberFormat="1" applyFont="1" applyFill="1" applyBorder="1"/>
    <xf numFmtId="0" fontId="0" fillId="0" borderId="10" xfId="0" applyBorder="1"/>
    <xf numFmtId="10" fontId="0" fillId="2" borderId="5" xfId="0" applyNumberFormat="1" applyFill="1" applyBorder="1"/>
    <xf numFmtId="10" fontId="3" fillId="5" borderId="5" xfId="2" applyNumberFormat="1" applyFont="1" applyFill="1" applyBorder="1"/>
    <xf numFmtId="0" fontId="0" fillId="0" borderId="5" xfId="0" applyBorder="1" applyAlignment="1">
      <alignment horizontal="center" vertical="center" wrapText="1"/>
    </xf>
    <xf numFmtId="0" fontId="0" fillId="2" borderId="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3" fillId="4" borderId="6" xfId="0" applyFont="1" applyFill="1" applyBorder="1"/>
    <xf numFmtId="0" fontId="3" fillId="4" borderId="1" xfId="0" applyFont="1" applyFill="1" applyBorder="1"/>
    <xf numFmtId="0" fontId="0" fillId="0" borderId="0" xfId="0" applyBorder="1"/>
    <xf numFmtId="0" fontId="0" fillId="2" borderId="0" xfId="0" applyFill="1" applyBorder="1"/>
    <xf numFmtId="0" fontId="8" fillId="0" borderId="2" xfId="0" applyFont="1" applyBorder="1"/>
    <xf numFmtId="0" fontId="0" fillId="0" borderId="2" xfId="0" applyBorder="1" applyAlignment="1">
      <alignment vertical="center" wrapText="1"/>
    </xf>
    <xf numFmtId="0" fontId="0" fillId="2" borderId="0" xfId="0" applyFill="1" applyBorder="1" applyAlignment="1">
      <alignment horizontal="center"/>
    </xf>
    <xf numFmtId="0" fontId="3" fillId="4" borderId="7" xfId="0" applyFont="1" applyFill="1" applyBorder="1"/>
    <xf numFmtId="0" fontId="0" fillId="0" borderId="4" xfId="0" applyBorder="1" applyAlignment="1">
      <alignment horizontal="center"/>
    </xf>
    <xf numFmtId="9" fontId="0" fillId="2" borderId="5" xfId="2" applyFont="1" applyFill="1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2" borderId="5" xfId="0" applyFill="1" applyBorder="1" applyAlignment="1">
      <alignment horizontal="center"/>
    </xf>
    <xf numFmtId="10" fontId="3" fillId="5" borderId="5" xfId="2" applyNumberFormat="1" applyFont="1" applyFill="1" applyBorder="1" applyAlignment="1">
      <alignment horizontal="center"/>
    </xf>
    <xf numFmtId="10" fontId="1" fillId="5" borderId="5" xfId="2" applyNumberFormat="1" applyFont="1" applyFill="1" applyBorder="1" applyAlignment="1">
      <alignment horizontal="center"/>
    </xf>
    <xf numFmtId="43" fontId="1" fillId="5" borderId="5" xfId="1" applyFont="1" applyFill="1" applyBorder="1" applyAlignment="1">
      <alignment horizontal="center"/>
    </xf>
    <xf numFmtId="43" fontId="1" fillId="5" borderId="10" xfId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4" borderId="8" xfId="0" applyFont="1" applyFill="1" applyBorder="1"/>
    <xf numFmtId="0" fontId="0" fillId="0" borderId="0" xfId="0" applyAlignment="1">
      <alignment vertical="center"/>
    </xf>
    <xf numFmtId="171" fontId="3" fillId="0" borderId="0" xfId="1" applyNumberFormat="1" applyFont="1"/>
    <xf numFmtId="0" fontId="5" fillId="8" borderId="11" xfId="0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1" fontId="3" fillId="0" borderId="1" xfId="1" applyNumberFormat="1" applyFont="1" applyBorder="1"/>
    <xf numFmtId="43" fontId="1" fillId="5" borderId="1" xfId="1" applyFont="1" applyFill="1" applyBorder="1" applyAlignment="1">
      <alignment horizontal="center"/>
    </xf>
    <xf numFmtId="171" fontId="3" fillId="0" borderId="6" xfId="1" applyNumberFormat="1" applyFont="1" applyBorder="1" applyAlignment="1">
      <alignment horizontal="center"/>
    </xf>
    <xf numFmtId="171" fontId="3" fillId="0" borderId="8" xfId="1" applyNumberFormat="1" applyFont="1" applyBorder="1" applyAlignment="1">
      <alignment horizontal="center"/>
    </xf>
    <xf numFmtId="171" fontId="3" fillId="0" borderId="7" xfId="1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showGridLines="0" tabSelected="1" zoomScaleNormal="100" workbookViewId="0">
      <selection sqref="A1:B1"/>
    </sheetView>
  </sheetViews>
  <sheetFormatPr defaultRowHeight="15" x14ac:dyDescent="0.25"/>
  <cols>
    <col min="1" max="1" width="47.5703125" customWidth="1"/>
    <col min="2" max="2" width="43" style="3" customWidth="1"/>
  </cols>
  <sheetData>
    <row r="1" spans="1:2" ht="21" x14ac:dyDescent="0.35">
      <c r="A1" s="43" t="s">
        <v>2</v>
      </c>
      <c r="B1" s="43"/>
    </row>
    <row r="3" spans="1:2" x14ac:dyDescent="0.25">
      <c r="A3" s="7" t="s">
        <v>3</v>
      </c>
    </row>
    <row r="4" spans="1:2" x14ac:dyDescent="0.25">
      <c r="A4" t="s">
        <v>4</v>
      </c>
      <c r="B4" s="2" t="s">
        <v>45</v>
      </c>
    </row>
    <row r="5" spans="1:2" x14ac:dyDescent="0.25">
      <c r="A5" t="s">
        <v>5</v>
      </c>
      <c r="B5" s="2" t="s">
        <v>46</v>
      </c>
    </row>
    <row r="6" spans="1:2" x14ac:dyDescent="0.25">
      <c r="A6" t="s">
        <v>6</v>
      </c>
      <c r="B6" s="2" t="s">
        <v>17</v>
      </c>
    </row>
    <row r="7" spans="1:2" ht="45.75" customHeight="1" x14ac:dyDescent="0.25">
      <c r="A7" t="s">
        <v>7</v>
      </c>
      <c r="B7" s="9" t="s">
        <v>47</v>
      </c>
    </row>
    <row r="9" spans="1:2" x14ac:dyDescent="0.25">
      <c r="A9" s="7" t="s">
        <v>8</v>
      </c>
    </row>
    <row r="10" spans="1:2" x14ac:dyDescent="0.25">
      <c r="A10" t="s">
        <v>9</v>
      </c>
      <c r="B10" s="2"/>
    </row>
    <row r="11" spans="1:2" x14ac:dyDescent="0.25">
      <c r="A11" t="s">
        <v>10</v>
      </c>
      <c r="B11" s="2"/>
    </row>
    <row r="12" spans="1:2" x14ac:dyDescent="0.25">
      <c r="A12" t="s">
        <v>11</v>
      </c>
      <c r="B12" s="2"/>
    </row>
    <row r="13" spans="1:2" x14ac:dyDescent="0.25">
      <c r="A13" t="s">
        <v>12</v>
      </c>
      <c r="B13" s="4"/>
    </row>
    <row r="14" spans="1:2" x14ac:dyDescent="0.25">
      <c r="A14" t="s">
        <v>13</v>
      </c>
      <c r="B14" s="4"/>
    </row>
    <row r="15" spans="1:2" x14ac:dyDescent="0.25">
      <c r="A15" t="s">
        <v>14</v>
      </c>
      <c r="B15" s="4"/>
    </row>
    <row r="16" spans="1:2" x14ac:dyDescent="0.25">
      <c r="A16" t="s">
        <v>15</v>
      </c>
      <c r="B16" s="2"/>
    </row>
    <row r="17" spans="1:2" x14ac:dyDescent="0.25">
      <c r="A17" t="s">
        <v>16</v>
      </c>
      <c r="B17" s="2"/>
    </row>
    <row r="19" spans="1:2" x14ac:dyDescent="0.25">
      <c r="A19" s="7" t="s">
        <v>18</v>
      </c>
    </row>
    <row r="20" spans="1:2" x14ac:dyDescent="0.25">
      <c r="A20" t="s">
        <v>19</v>
      </c>
      <c r="B20" s="2" t="s">
        <v>41</v>
      </c>
    </row>
    <row r="21" spans="1:2" x14ac:dyDescent="0.25">
      <c r="A21" t="s">
        <v>20</v>
      </c>
      <c r="B21" s="2" t="s">
        <v>42</v>
      </c>
    </row>
    <row r="22" spans="1:2" x14ac:dyDescent="0.25">
      <c r="A22" t="s">
        <v>21</v>
      </c>
      <c r="B22" s="2" t="s">
        <v>43</v>
      </c>
    </row>
    <row r="24" spans="1:2" x14ac:dyDescent="0.25">
      <c r="A24" s="7" t="s">
        <v>22</v>
      </c>
    </row>
    <row r="25" spans="1:2" x14ac:dyDescent="0.25">
      <c r="A25" t="s">
        <v>23</v>
      </c>
      <c r="B25" s="2" t="s">
        <v>44</v>
      </c>
    </row>
    <row r="26" spans="1:2" x14ac:dyDescent="0.25">
      <c r="A26" t="s">
        <v>24</v>
      </c>
      <c r="B26" s="2" t="s">
        <v>25</v>
      </c>
    </row>
    <row r="28" spans="1:2" x14ac:dyDescent="0.25">
      <c r="A28" s="7" t="s">
        <v>26</v>
      </c>
    </row>
    <row r="29" spans="1:2" x14ac:dyDescent="0.25">
      <c r="A29" t="s">
        <v>27</v>
      </c>
      <c r="B29" s="2">
        <v>3</v>
      </c>
    </row>
    <row r="30" spans="1:2" x14ac:dyDescent="0.25">
      <c r="A30" t="s">
        <v>28</v>
      </c>
      <c r="B30" s="2">
        <v>5</v>
      </c>
    </row>
    <row r="31" spans="1:2" x14ac:dyDescent="0.25">
      <c r="A31" t="s">
        <v>29</v>
      </c>
      <c r="B31" s="2" t="s">
        <v>31</v>
      </c>
    </row>
    <row r="32" spans="1:2" x14ac:dyDescent="0.25">
      <c r="A32" t="s">
        <v>30</v>
      </c>
      <c r="B32" s="2">
        <v>0</v>
      </c>
    </row>
    <row r="34" spans="1:2" x14ac:dyDescent="0.25">
      <c r="A34" s="7" t="s">
        <v>32</v>
      </c>
    </row>
    <row r="35" spans="1:2" x14ac:dyDescent="0.25">
      <c r="A35" t="s">
        <v>33</v>
      </c>
      <c r="B35" s="2" t="s">
        <v>36</v>
      </c>
    </row>
    <row r="36" spans="1:2" x14ac:dyDescent="0.25">
      <c r="A36" t="s">
        <v>34</v>
      </c>
      <c r="B36" s="2" t="s">
        <v>37</v>
      </c>
    </row>
    <row r="37" spans="1:2" x14ac:dyDescent="0.25">
      <c r="A37" t="s">
        <v>35</v>
      </c>
      <c r="B37" s="2" t="s">
        <v>38</v>
      </c>
    </row>
    <row r="38" spans="1:2" x14ac:dyDescent="0.25">
      <c r="B38"/>
    </row>
    <row r="39" spans="1:2" x14ac:dyDescent="0.25">
      <c r="A39" s="7" t="s">
        <v>125</v>
      </c>
    </row>
    <row r="40" spans="1:2" x14ac:dyDescent="0.25">
      <c r="A40" t="s">
        <v>126</v>
      </c>
      <c r="B40" s="3" t="s">
        <v>127</v>
      </c>
    </row>
    <row r="41" spans="1:2" x14ac:dyDescent="0.25">
      <c r="A41" t="s">
        <v>128</v>
      </c>
      <c r="B41" s="2"/>
    </row>
    <row r="42" spans="1:2" x14ac:dyDescent="0.25">
      <c r="A42" t="s">
        <v>129</v>
      </c>
      <c r="B42" s="2"/>
    </row>
    <row r="43" spans="1:2" x14ac:dyDescent="0.25">
      <c r="A43" t="s">
        <v>130</v>
      </c>
      <c r="B43" s="2"/>
    </row>
    <row r="44" spans="1:2" x14ac:dyDescent="0.25">
      <c r="A44" t="s">
        <v>131</v>
      </c>
      <c r="B44" s="32">
        <f>SUM(B42:B43)</f>
        <v>0</v>
      </c>
    </row>
    <row r="45" spans="1:2" x14ac:dyDescent="0.25">
      <c r="A45" t="s">
        <v>132</v>
      </c>
      <c r="B45" s="3" t="s">
        <v>133</v>
      </c>
    </row>
    <row r="46" spans="1:2" x14ac:dyDescent="0.25">
      <c r="A46" t="s">
        <v>134</v>
      </c>
      <c r="B46" s="2">
        <v>2</v>
      </c>
    </row>
    <row r="48" spans="1:2" x14ac:dyDescent="0.25">
      <c r="A48" s="8" t="s">
        <v>39</v>
      </c>
    </row>
    <row r="49" spans="1:1" x14ac:dyDescent="0.25">
      <c r="A49" s="1" t="s">
        <v>0</v>
      </c>
    </row>
    <row r="50" spans="1:1" x14ac:dyDescent="0.25">
      <c r="A50" s="6" t="s">
        <v>40</v>
      </c>
    </row>
    <row r="51" spans="1:1" x14ac:dyDescent="0.25">
      <c r="A51" s="5" t="s">
        <v>1</v>
      </c>
    </row>
  </sheetData>
  <mergeCells count="1">
    <mergeCell ref="A1:B1"/>
  </mergeCells>
  <dataValidations count="7">
    <dataValidation type="list" allowBlank="1" showInputMessage="1" showErrorMessage="1" sqref="B26">
      <formula1>"Lakhs, Millions, Crores"</formula1>
    </dataValidation>
    <dataValidation type="list" allowBlank="1" showInputMessage="1" showErrorMessage="1" sqref="B31">
      <formula1>"Yes,No"</formula1>
    </dataValidation>
    <dataValidation type="list" allowBlank="1" showInputMessage="1" showErrorMessage="1" sqref="B35">
      <formula1>"Mid-Year, Year-End"</formula1>
    </dataValidation>
    <dataValidation type="list" allowBlank="1" showInputMessage="1" showErrorMessage="1" sqref="B36">
      <formula1>"CAPM Build-up, Direct Ke"</formula1>
    </dataValidation>
    <dataValidation type="list" allowBlank="1" showInputMessage="1" showErrorMessage="1" sqref="B37">
      <formula1>"Gordon Growth, Exit Multiple"</formula1>
    </dataValidation>
    <dataValidation type="list" allowBlank="1" showInputMessage="1" showErrorMessage="1" sqref="B40">
      <formula1>"Standalone Valuation,  Pre-money , Post-money"</formula1>
    </dataValidation>
    <dataValidation type="list" allowBlank="1" showInputMessage="1" showErrorMessage="1" sqref="B45">
      <formula1>"FCFF discounted at WACC, FCFE discounted at Ke, Run both with reconciliation"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8"/>
  <sheetViews>
    <sheetView showGridLines="0" workbookViewId="0">
      <selection sqref="A1:F1"/>
    </sheetView>
  </sheetViews>
  <sheetFormatPr defaultRowHeight="15" x14ac:dyDescent="0.25"/>
  <cols>
    <col min="1" max="1" width="36.28515625" customWidth="1"/>
    <col min="2" max="6" width="13" customWidth="1"/>
  </cols>
  <sheetData>
    <row r="1" spans="1:7" ht="21" x14ac:dyDescent="0.35">
      <c r="A1" s="43" t="s">
        <v>48</v>
      </c>
      <c r="B1" s="43"/>
      <c r="C1" s="43"/>
      <c r="D1" s="43"/>
      <c r="E1" s="43"/>
      <c r="F1" s="43"/>
    </row>
    <row r="3" spans="1:7" x14ac:dyDescent="0.25">
      <c r="A3" s="25" t="s">
        <v>49</v>
      </c>
      <c r="B3" s="24" t="s">
        <v>50</v>
      </c>
      <c r="C3" s="24" t="s">
        <v>51</v>
      </c>
      <c r="D3" s="24" t="s">
        <v>52</v>
      </c>
      <c r="E3" s="24" t="s">
        <v>53</v>
      </c>
      <c r="F3" s="23" t="s">
        <v>54</v>
      </c>
    </row>
    <row r="4" spans="1:7" x14ac:dyDescent="0.25">
      <c r="A4" s="12" t="s">
        <v>55</v>
      </c>
      <c r="B4" s="19"/>
      <c r="C4" s="19"/>
      <c r="D4" s="19"/>
      <c r="E4" s="19"/>
      <c r="F4" s="13"/>
    </row>
    <row r="5" spans="1:7" x14ac:dyDescent="0.25">
      <c r="A5" s="14"/>
      <c r="B5" s="20"/>
      <c r="C5" s="20"/>
      <c r="D5" s="20"/>
      <c r="E5" s="20"/>
      <c r="F5" s="15"/>
    </row>
    <row r="6" spans="1:7" x14ac:dyDescent="0.25">
      <c r="A6" s="27" t="s">
        <v>56</v>
      </c>
      <c r="B6" s="21"/>
      <c r="C6" s="21"/>
      <c r="D6" s="21"/>
      <c r="E6" s="21"/>
      <c r="F6" s="16"/>
      <c r="G6" s="11"/>
    </row>
    <row r="7" spans="1:7" x14ac:dyDescent="0.25">
      <c r="A7" s="17" t="s">
        <v>57</v>
      </c>
      <c r="B7" s="22"/>
      <c r="C7" s="22"/>
      <c r="D7" s="22"/>
      <c r="E7" s="22"/>
      <c r="F7" s="18"/>
      <c r="G7" s="11"/>
    </row>
    <row r="8" spans="1:7" x14ac:dyDescent="0.25">
      <c r="A8" s="17" t="s">
        <v>58</v>
      </c>
      <c r="B8" s="22"/>
      <c r="C8" s="22"/>
      <c r="D8" s="22"/>
      <c r="E8" s="22"/>
      <c r="F8" s="18"/>
      <c r="G8" s="11"/>
    </row>
    <row r="9" spans="1:7" x14ac:dyDescent="0.25">
      <c r="A9" s="29" t="s">
        <v>59</v>
      </c>
      <c r="B9" s="30">
        <f>SUM(B7:B8)</f>
        <v>0</v>
      </c>
      <c r="C9" s="30">
        <f t="shared" ref="C9:F9" si="0">SUM(C7:C8)</f>
        <v>0</v>
      </c>
      <c r="D9" s="30">
        <f t="shared" si="0"/>
        <v>0</v>
      </c>
      <c r="E9" s="30">
        <f t="shared" si="0"/>
        <v>0</v>
      </c>
      <c r="F9" s="31">
        <f t="shared" si="0"/>
        <v>0</v>
      </c>
      <c r="G9" s="11"/>
    </row>
    <row r="10" spans="1:7" x14ac:dyDescent="0.25">
      <c r="A10" s="17"/>
      <c r="B10" s="21"/>
      <c r="C10" s="21"/>
      <c r="D10" s="21"/>
      <c r="E10" s="21"/>
      <c r="F10" s="16"/>
      <c r="G10" s="11"/>
    </row>
    <row r="11" spans="1:7" x14ac:dyDescent="0.25">
      <c r="A11" s="27" t="s">
        <v>60</v>
      </c>
      <c r="B11" s="21"/>
      <c r="C11" s="21"/>
      <c r="D11" s="21"/>
      <c r="E11" s="21"/>
      <c r="F11" s="16"/>
      <c r="G11" s="11"/>
    </row>
    <row r="12" spans="1:7" x14ac:dyDescent="0.25">
      <c r="A12" s="17" t="s">
        <v>61</v>
      </c>
      <c r="B12" s="22"/>
      <c r="C12" s="22"/>
      <c r="D12" s="22"/>
      <c r="E12" s="22"/>
      <c r="F12" s="18"/>
      <c r="G12" s="11"/>
    </row>
    <row r="13" spans="1:7" x14ac:dyDescent="0.25">
      <c r="A13" s="17" t="s">
        <v>62</v>
      </c>
      <c r="B13" s="22"/>
      <c r="C13" s="22"/>
      <c r="D13" s="22"/>
      <c r="E13" s="22"/>
      <c r="F13" s="18"/>
      <c r="G13" s="11"/>
    </row>
    <row r="14" spans="1:7" x14ac:dyDescent="0.25">
      <c r="A14" s="17" t="s">
        <v>63</v>
      </c>
      <c r="B14" s="22"/>
      <c r="C14" s="22"/>
      <c r="D14" s="22"/>
      <c r="E14" s="22"/>
      <c r="F14" s="18"/>
      <c r="G14" s="11"/>
    </row>
    <row r="15" spans="1:7" x14ac:dyDescent="0.25">
      <c r="A15" s="29" t="s">
        <v>64</v>
      </c>
      <c r="B15" s="30">
        <f>SUM(B12:B14)</f>
        <v>0</v>
      </c>
      <c r="C15" s="30">
        <f t="shared" ref="C15:F15" si="1">SUM(C12:C14)</f>
        <v>0</v>
      </c>
      <c r="D15" s="30">
        <f t="shared" si="1"/>
        <v>0</v>
      </c>
      <c r="E15" s="30">
        <f t="shared" si="1"/>
        <v>0</v>
      </c>
      <c r="F15" s="31">
        <f t="shared" si="1"/>
        <v>0</v>
      </c>
      <c r="G15" s="11"/>
    </row>
    <row r="16" spans="1:7" x14ac:dyDescent="0.25">
      <c r="A16" s="17"/>
      <c r="B16" s="21"/>
      <c r="C16" s="21"/>
      <c r="D16" s="21"/>
      <c r="E16" s="21"/>
      <c r="F16" s="16"/>
      <c r="G16" s="11"/>
    </row>
    <row r="17" spans="1:7" x14ac:dyDescent="0.25">
      <c r="A17" s="29" t="s">
        <v>65</v>
      </c>
      <c r="B17" s="30">
        <f>B9-B15</f>
        <v>0</v>
      </c>
      <c r="C17" s="30">
        <f t="shared" ref="C17:F17" si="2">C9-C15</f>
        <v>0</v>
      </c>
      <c r="D17" s="30">
        <f t="shared" si="2"/>
        <v>0</v>
      </c>
      <c r="E17" s="30">
        <f t="shared" si="2"/>
        <v>0</v>
      </c>
      <c r="F17" s="31">
        <f t="shared" si="2"/>
        <v>0</v>
      </c>
      <c r="G17" s="11"/>
    </row>
    <row r="18" spans="1:7" x14ac:dyDescent="0.25">
      <c r="A18" s="17" t="s">
        <v>66</v>
      </c>
      <c r="B18" s="22"/>
      <c r="C18" s="22"/>
      <c r="D18" s="22"/>
      <c r="E18" s="22"/>
      <c r="F18" s="18"/>
      <c r="G18" s="11"/>
    </row>
    <row r="19" spans="1:7" x14ac:dyDescent="0.25">
      <c r="A19" s="29" t="s">
        <v>67</v>
      </c>
      <c r="B19" s="30">
        <f>B17-B18</f>
        <v>0</v>
      </c>
      <c r="C19" s="30">
        <f t="shared" ref="C19:F19" si="3">C17-C18</f>
        <v>0</v>
      </c>
      <c r="D19" s="30">
        <f t="shared" si="3"/>
        <v>0</v>
      </c>
      <c r="E19" s="30">
        <f t="shared" si="3"/>
        <v>0</v>
      </c>
      <c r="F19" s="31">
        <f t="shared" si="3"/>
        <v>0</v>
      </c>
      <c r="G19" s="11"/>
    </row>
    <row r="20" spans="1:7" x14ac:dyDescent="0.25">
      <c r="A20" s="17" t="s">
        <v>68</v>
      </c>
      <c r="B20" s="22"/>
      <c r="C20" s="22"/>
      <c r="D20" s="22"/>
      <c r="E20" s="22"/>
      <c r="F20" s="18"/>
      <c r="G20" s="11"/>
    </row>
    <row r="21" spans="1:7" x14ac:dyDescent="0.25">
      <c r="A21" s="29" t="s">
        <v>69</v>
      </c>
      <c r="B21" s="30">
        <f>B19-B20</f>
        <v>0</v>
      </c>
      <c r="C21" s="30">
        <f t="shared" ref="C21:F21" si="4">C19-C20</f>
        <v>0</v>
      </c>
      <c r="D21" s="30">
        <f t="shared" si="4"/>
        <v>0</v>
      </c>
      <c r="E21" s="30">
        <f t="shared" si="4"/>
        <v>0</v>
      </c>
      <c r="F21" s="31">
        <f t="shared" si="4"/>
        <v>0</v>
      </c>
      <c r="G21" s="11"/>
    </row>
    <row r="22" spans="1:7" x14ac:dyDescent="0.25">
      <c r="A22" s="17" t="s">
        <v>70</v>
      </c>
      <c r="B22" s="22"/>
      <c r="C22" s="22"/>
      <c r="D22" s="22"/>
      <c r="E22" s="22"/>
      <c r="F22" s="18"/>
      <c r="G22" s="11"/>
    </row>
    <row r="23" spans="1:7" x14ac:dyDescent="0.25">
      <c r="A23" s="29" t="s">
        <v>71</v>
      </c>
      <c r="B23" s="30">
        <f>B21-B22</f>
        <v>0</v>
      </c>
      <c r="C23" s="30">
        <f t="shared" ref="C23:F23" si="5">C21-C22</f>
        <v>0</v>
      </c>
      <c r="D23" s="30">
        <f t="shared" si="5"/>
        <v>0</v>
      </c>
      <c r="E23" s="30">
        <f t="shared" si="5"/>
        <v>0</v>
      </c>
      <c r="F23" s="31">
        <f t="shared" si="5"/>
        <v>0</v>
      </c>
      <c r="G23" s="11"/>
    </row>
    <row r="24" spans="1:7" x14ac:dyDescent="0.25">
      <c r="A24" s="10"/>
      <c r="B24" s="11"/>
      <c r="C24" s="11"/>
      <c r="D24" s="11"/>
      <c r="E24" s="11"/>
      <c r="F24" s="11"/>
      <c r="G24" s="11"/>
    </row>
    <row r="25" spans="1:7" x14ac:dyDescent="0.25">
      <c r="A25" s="10"/>
      <c r="B25" s="11"/>
      <c r="C25" s="11"/>
      <c r="D25" s="11"/>
      <c r="E25" s="11"/>
      <c r="F25" s="11"/>
      <c r="G25" s="11"/>
    </row>
    <row r="26" spans="1:7" x14ac:dyDescent="0.25">
      <c r="A26" s="10"/>
      <c r="B26" s="11"/>
      <c r="C26" s="11"/>
      <c r="D26" s="11"/>
      <c r="E26" s="11"/>
      <c r="F26" s="11"/>
      <c r="G26" s="11"/>
    </row>
    <row r="27" spans="1:7" x14ac:dyDescent="0.25">
      <c r="A27" s="10"/>
      <c r="B27" s="11"/>
      <c r="C27" s="11"/>
      <c r="D27" s="11"/>
      <c r="E27" s="11"/>
      <c r="F27" s="11"/>
      <c r="G27" s="11"/>
    </row>
    <row r="28" spans="1:7" x14ac:dyDescent="0.25">
      <c r="A28" s="10"/>
      <c r="B28" s="11"/>
      <c r="C28" s="11"/>
      <c r="D28" s="11"/>
      <c r="E28" s="11"/>
      <c r="F28" s="11"/>
      <c r="G28" s="11"/>
    </row>
    <row r="29" spans="1:7" x14ac:dyDescent="0.25">
      <c r="A29" s="10"/>
      <c r="B29" s="11"/>
      <c r="C29" s="11"/>
      <c r="D29" s="11"/>
      <c r="E29" s="11"/>
      <c r="F29" s="11"/>
      <c r="G29" s="11"/>
    </row>
    <row r="30" spans="1:7" x14ac:dyDescent="0.25">
      <c r="A30" s="10"/>
      <c r="B30" s="11"/>
      <c r="C30" s="11"/>
      <c r="D30" s="11"/>
      <c r="E30" s="11"/>
      <c r="F30" s="11"/>
      <c r="G30" s="11"/>
    </row>
    <row r="31" spans="1:7" x14ac:dyDescent="0.25">
      <c r="A31" s="10"/>
      <c r="B31" s="11"/>
      <c r="C31" s="11"/>
      <c r="D31" s="11"/>
      <c r="E31" s="11"/>
      <c r="F31" s="11"/>
      <c r="G31" s="11"/>
    </row>
    <row r="32" spans="1:7" x14ac:dyDescent="0.25">
      <c r="A32" s="10"/>
      <c r="B32" s="11"/>
      <c r="C32" s="11"/>
      <c r="D32" s="11"/>
      <c r="E32" s="11"/>
      <c r="F32" s="11"/>
      <c r="G32" s="11"/>
    </row>
    <row r="33" spans="1:7" x14ac:dyDescent="0.25">
      <c r="A33" s="10"/>
      <c r="B33" s="11"/>
      <c r="C33" s="11"/>
      <c r="D33" s="11"/>
      <c r="E33" s="11"/>
      <c r="F33" s="11"/>
      <c r="G33" s="11"/>
    </row>
    <row r="34" spans="1:7" x14ac:dyDescent="0.25">
      <c r="A34" s="10"/>
      <c r="B34" s="11"/>
      <c r="C34" s="11"/>
      <c r="D34" s="11"/>
      <c r="E34" s="11"/>
      <c r="F34" s="11"/>
      <c r="G34" s="11"/>
    </row>
    <row r="35" spans="1:7" x14ac:dyDescent="0.25">
      <c r="A35" s="10"/>
      <c r="B35" s="11"/>
      <c r="C35" s="11"/>
      <c r="D35" s="11"/>
      <c r="E35" s="11"/>
      <c r="F35" s="11"/>
      <c r="G35" s="11"/>
    </row>
    <row r="36" spans="1:7" x14ac:dyDescent="0.25">
      <c r="A36" s="10"/>
      <c r="B36" s="11"/>
      <c r="C36" s="11"/>
      <c r="D36" s="11"/>
      <c r="E36" s="11"/>
      <c r="F36" s="11"/>
      <c r="G36" s="11"/>
    </row>
    <row r="37" spans="1:7" x14ac:dyDescent="0.25">
      <c r="A37" s="10"/>
      <c r="B37" s="11"/>
      <c r="C37" s="11"/>
      <c r="D37" s="11"/>
      <c r="E37" s="11"/>
      <c r="F37" s="11"/>
      <c r="G37" s="11"/>
    </row>
    <row r="38" spans="1:7" x14ac:dyDescent="0.25">
      <c r="A38" s="10"/>
      <c r="B38" s="11"/>
      <c r="C38" s="11"/>
      <c r="D38" s="11"/>
      <c r="E38" s="11"/>
      <c r="F38" s="11"/>
      <c r="G38" s="11"/>
    </row>
    <row r="39" spans="1:7" x14ac:dyDescent="0.25">
      <c r="B39" s="11"/>
      <c r="C39" s="11"/>
      <c r="D39" s="11"/>
      <c r="E39" s="11"/>
      <c r="F39" s="11"/>
      <c r="G39" s="11"/>
    </row>
    <row r="40" spans="1:7" x14ac:dyDescent="0.25">
      <c r="B40" s="11"/>
      <c r="C40" s="11"/>
      <c r="D40" s="11"/>
      <c r="E40" s="11"/>
      <c r="F40" s="11"/>
      <c r="G40" s="11"/>
    </row>
    <row r="41" spans="1:7" x14ac:dyDescent="0.25">
      <c r="B41" s="11"/>
      <c r="C41" s="11"/>
      <c r="D41" s="11"/>
      <c r="E41" s="11"/>
      <c r="F41" s="11"/>
      <c r="G41" s="11"/>
    </row>
    <row r="42" spans="1:7" x14ac:dyDescent="0.25">
      <c r="B42" s="11"/>
      <c r="C42" s="11"/>
      <c r="D42" s="11"/>
      <c r="E42" s="11"/>
      <c r="F42" s="11"/>
      <c r="G42" s="11"/>
    </row>
    <row r="43" spans="1:7" x14ac:dyDescent="0.25">
      <c r="B43" s="11"/>
      <c r="C43" s="11"/>
      <c r="D43" s="11"/>
      <c r="E43" s="11"/>
      <c r="F43" s="11"/>
      <c r="G43" s="11"/>
    </row>
    <row r="44" spans="1:7" x14ac:dyDescent="0.25">
      <c r="B44" s="11"/>
      <c r="C44" s="11"/>
      <c r="D44" s="11"/>
      <c r="E44" s="11"/>
      <c r="F44" s="11"/>
      <c r="G44" s="11"/>
    </row>
    <row r="45" spans="1:7" x14ac:dyDescent="0.25">
      <c r="B45" s="11"/>
      <c r="C45" s="11"/>
      <c r="D45" s="11"/>
      <c r="E45" s="11"/>
      <c r="F45" s="11"/>
      <c r="G45" s="11"/>
    </row>
    <row r="46" spans="1:7" x14ac:dyDescent="0.25">
      <c r="B46" s="11"/>
      <c r="C46" s="11"/>
      <c r="D46" s="11"/>
      <c r="E46" s="11"/>
      <c r="F46" s="11"/>
      <c r="G46" s="11"/>
    </row>
    <row r="47" spans="1:7" x14ac:dyDescent="0.25">
      <c r="B47" s="11"/>
      <c r="C47" s="11"/>
      <c r="D47" s="11"/>
      <c r="E47" s="11"/>
      <c r="F47" s="11"/>
      <c r="G47" s="11"/>
    </row>
    <row r="48" spans="1:7" x14ac:dyDescent="0.25">
      <c r="B48" s="11"/>
      <c r="C48" s="11"/>
      <c r="D48" s="11"/>
      <c r="E48" s="11"/>
      <c r="F48" s="11"/>
      <c r="G48" s="11"/>
    </row>
    <row r="49" spans="2:7" x14ac:dyDescent="0.25">
      <c r="B49" s="11"/>
      <c r="C49" s="11"/>
      <c r="D49" s="11"/>
      <c r="E49" s="11"/>
      <c r="F49" s="11"/>
      <c r="G49" s="11"/>
    </row>
    <row r="50" spans="2:7" x14ac:dyDescent="0.25">
      <c r="B50" s="11"/>
      <c r="C50" s="11"/>
      <c r="D50" s="11"/>
      <c r="E50" s="11"/>
      <c r="F50" s="11"/>
      <c r="G50" s="11"/>
    </row>
    <row r="51" spans="2:7" x14ac:dyDescent="0.25">
      <c r="B51" s="11"/>
      <c r="C51" s="11"/>
      <c r="D51" s="11"/>
      <c r="E51" s="11"/>
      <c r="F51" s="11"/>
      <c r="G51" s="11"/>
    </row>
    <row r="52" spans="2:7" x14ac:dyDescent="0.25">
      <c r="B52" s="11"/>
      <c r="C52" s="11"/>
      <c r="D52" s="11"/>
      <c r="E52" s="11"/>
      <c r="F52" s="11"/>
      <c r="G52" s="11"/>
    </row>
    <row r="53" spans="2:7" x14ac:dyDescent="0.25">
      <c r="B53" s="11"/>
      <c r="C53" s="11"/>
      <c r="D53" s="11"/>
      <c r="E53" s="11"/>
      <c r="F53" s="11"/>
      <c r="G53" s="11"/>
    </row>
    <row r="54" spans="2:7" x14ac:dyDescent="0.25">
      <c r="B54" s="11"/>
      <c r="C54" s="11"/>
      <c r="D54" s="11"/>
      <c r="E54" s="11"/>
      <c r="F54" s="11"/>
      <c r="G54" s="11"/>
    </row>
    <row r="55" spans="2:7" x14ac:dyDescent="0.25">
      <c r="B55" s="11"/>
      <c r="C55" s="11"/>
      <c r="D55" s="11"/>
      <c r="E55" s="11"/>
      <c r="F55" s="11"/>
      <c r="G55" s="11"/>
    </row>
    <row r="56" spans="2:7" x14ac:dyDescent="0.25">
      <c r="B56" s="11"/>
      <c r="C56" s="11"/>
      <c r="D56" s="11"/>
      <c r="E56" s="11"/>
      <c r="F56" s="11"/>
      <c r="G56" s="11"/>
    </row>
    <row r="57" spans="2:7" x14ac:dyDescent="0.25">
      <c r="B57" s="11"/>
      <c r="C57" s="11"/>
      <c r="D57" s="11"/>
      <c r="E57" s="11"/>
      <c r="F57" s="11"/>
      <c r="G57" s="11"/>
    </row>
    <row r="58" spans="2:7" x14ac:dyDescent="0.25">
      <c r="B58" s="11"/>
      <c r="C58" s="11"/>
      <c r="D58" s="11"/>
      <c r="E58" s="11"/>
      <c r="F58" s="11"/>
      <c r="G58" s="11"/>
    </row>
    <row r="59" spans="2:7" x14ac:dyDescent="0.25">
      <c r="B59" s="11"/>
      <c r="C59" s="11"/>
      <c r="D59" s="11"/>
      <c r="E59" s="11"/>
      <c r="F59" s="11"/>
      <c r="G59" s="11"/>
    </row>
    <row r="60" spans="2:7" x14ac:dyDescent="0.25">
      <c r="B60" s="11"/>
      <c r="C60" s="11"/>
      <c r="D60" s="11"/>
      <c r="E60" s="11"/>
      <c r="F60" s="11"/>
      <c r="G60" s="11"/>
    </row>
    <row r="61" spans="2:7" x14ac:dyDescent="0.25">
      <c r="B61" s="11"/>
      <c r="C61" s="11"/>
      <c r="D61" s="11"/>
      <c r="E61" s="11"/>
      <c r="F61" s="11"/>
      <c r="G61" s="11"/>
    </row>
    <row r="62" spans="2:7" x14ac:dyDescent="0.25">
      <c r="B62" s="11"/>
      <c r="C62" s="11"/>
      <c r="D62" s="11"/>
      <c r="E62" s="11"/>
      <c r="F62" s="11"/>
      <c r="G62" s="11"/>
    </row>
    <row r="63" spans="2:7" x14ac:dyDescent="0.25">
      <c r="B63" s="11"/>
      <c r="C63" s="11"/>
      <c r="D63" s="11"/>
      <c r="E63" s="11"/>
      <c r="F63" s="11"/>
      <c r="G63" s="11"/>
    </row>
    <row r="64" spans="2:7" x14ac:dyDescent="0.25">
      <c r="B64" s="11"/>
      <c r="C64" s="11"/>
      <c r="D64" s="11"/>
      <c r="E64" s="11"/>
      <c r="F64" s="11"/>
      <c r="G64" s="11"/>
    </row>
    <row r="65" spans="2:7" x14ac:dyDescent="0.25">
      <c r="B65" s="11"/>
      <c r="C65" s="11"/>
      <c r="D65" s="11"/>
      <c r="E65" s="11"/>
      <c r="F65" s="11"/>
      <c r="G65" s="11"/>
    </row>
    <row r="66" spans="2:7" x14ac:dyDescent="0.25">
      <c r="B66" s="11"/>
      <c r="C66" s="11"/>
      <c r="D66" s="11"/>
      <c r="E66" s="11"/>
      <c r="F66" s="11"/>
      <c r="G66" s="11"/>
    </row>
    <row r="67" spans="2:7" x14ac:dyDescent="0.25">
      <c r="B67" s="11"/>
      <c r="C67" s="11"/>
      <c r="D67" s="11"/>
      <c r="E67" s="11"/>
      <c r="F67" s="11"/>
      <c r="G67" s="11"/>
    </row>
    <row r="68" spans="2:7" x14ac:dyDescent="0.25">
      <c r="B68" s="11"/>
      <c r="C68" s="11"/>
      <c r="D68" s="11"/>
      <c r="E68" s="11"/>
      <c r="F68" s="11"/>
      <c r="G68" s="11"/>
    </row>
    <row r="69" spans="2:7" x14ac:dyDescent="0.25">
      <c r="B69" s="11"/>
      <c r="C69" s="11"/>
      <c r="D69" s="11"/>
      <c r="E69" s="11"/>
      <c r="F69" s="11"/>
      <c r="G69" s="11"/>
    </row>
    <row r="70" spans="2:7" x14ac:dyDescent="0.25">
      <c r="B70" s="11"/>
      <c r="C70" s="11"/>
      <c r="D70" s="11"/>
      <c r="E70" s="11"/>
      <c r="F70" s="11"/>
      <c r="G70" s="11"/>
    </row>
    <row r="71" spans="2:7" x14ac:dyDescent="0.25">
      <c r="B71" s="11"/>
      <c r="C71" s="11"/>
      <c r="D71" s="11"/>
      <c r="E71" s="11"/>
      <c r="F71" s="11"/>
      <c r="G71" s="11"/>
    </row>
    <row r="72" spans="2:7" x14ac:dyDescent="0.25">
      <c r="B72" s="11"/>
      <c r="C72" s="11"/>
      <c r="D72" s="11"/>
      <c r="E72" s="11"/>
      <c r="F72" s="11"/>
      <c r="G72" s="11"/>
    </row>
    <row r="73" spans="2:7" x14ac:dyDescent="0.25">
      <c r="B73" s="11"/>
      <c r="C73" s="11"/>
      <c r="D73" s="11"/>
      <c r="E73" s="11"/>
      <c r="F73" s="11"/>
      <c r="G73" s="11"/>
    </row>
    <row r="74" spans="2:7" x14ac:dyDescent="0.25">
      <c r="B74" s="11"/>
      <c r="C74" s="11"/>
      <c r="D74" s="11"/>
      <c r="E74" s="11"/>
      <c r="F74" s="11"/>
      <c r="G74" s="11"/>
    </row>
    <row r="75" spans="2:7" x14ac:dyDescent="0.25">
      <c r="B75" s="11"/>
      <c r="C75" s="11"/>
      <c r="D75" s="11"/>
      <c r="E75" s="11"/>
      <c r="F75" s="11"/>
      <c r="G75" s="11"/>
    </row>
    <row r="76" spans="2:7" x14ac:dyDescent="0.25">
      <c r="B76" s="11"/>
      <c r="C76" s="11"/>
      <c r="D76" s="11"/>
      <c r="E76" s="11"/>
      <c r="F76" s="11"/>
      <c r="G76" s="11"/>
    </row>
    <row r="77" spans="2:7" x14ac:dyDescent="0.25">
      <c r="B77" s="11"/>
      <c r="C77" s="11"/>
      <c r="D77" s="11"/>
      <c r="E77" s="11"/>
      <c r="F77" s="11"/>
      <c r="G77" s="11"/>
    </row>
    <row r="78" spans="2:7" x14ac:dyDescent="0.25">
      <c r="B78" s="11"/>
      <c r="C78" s="11"/>
      <c r="D78" s="11"/>
      <c r="E78" s="11"/>
      <c r="F78" s="11"/>
      <c r="G78" s="11"/>
    </row>
    <row r="79" spans="2:7" x14ac:dyDescent="0.25">
      <c r="B79" s="11"/>
      <c r="C79" s="11"/>
      <c r="D79" s="11"/>
      <c r="E79" s="11"/>
      <c r="F79" s="11"/>
      <c r="G79" s="11"/>
    </row>
    <row r="80" spans="2:7" x14ac:dyDescent="0.25">
      <c r="B80" s="11"/>
      <c r="C80" s="11"/>
      <c r="D80" s="11"/>
      <c r="E80" s="11"/>
      <c r="F80" s="11"/>
      <c r="G80" s="11"/>
    </row>
    <row r="81" spans="2:7" x14ac:dyDescent="0.25">
      <c r="B81" s="11"/>
      <c r="C81" s="11"/>
      <c r="D81" s="11"/>
      <c r="E81" s="11"/>
      <c r="F81" s="11"/>
      <c r="G81" s="11"/>
    </row>
    <row r="82" spans="2:7" x14ac:dyDescent="0.25">
      <c r="B82" s="11"/>
      <c r="C82" s="11"/>
      <c r="D82" s="11"/>
      <c r="E82" s="11"/>
      <c r="F82" s="11"/>
      <c r="G82" s="11"/>
    </row>
    <row r="83" spans="2:7" x14ac:dyDescent="0.25">
      <c r="B83" s="11"/>
      <c r="C83" s="11"/>
      <c r="D83" s="11"/>
      <c r="E83" s="11"/>
      <c r="F83" s="11"/>
      <c r="G83" s="11"/>
    </row>
    <row r="84" spans="2:7" x14ac:dyDescent="0.25">
      <c r="B84" s="11"/>
      <c r="C84" s="11"/>
      <c r="D84" s="11"/>
      <c r="E84" s="11"/>
      <c r="F84" s="11"/>
      <c r="G84" s="11"/>
    </row>
    <row r="85" spans="2:7" x14ac:dyDescent="0.25">
      <c r="B85" s="11"/>
      <c r="C85" s="11"/>
      <c r="D85" s="11"/>
      <c r="E85" s="11"/>
      <c r="F85" s="11"/>
      <c r="G85" s="11"/>
    </row>
    <row r="86" spans="2:7" x14ac:dyDescent="0.25">
      <c r="B86" s="11"/>
      <c r="C86" s="11"/>
      <c r="D86" s="11"/>
      <c r="E86" s="11"/>
      <c r="F86" s="11"/>
      <c r="G86" s="11"/>
    </row>
    <row r="87" spans="2:7" x14ac:dyDescent="0.25">
      <c r="B87" s="11"/>
      <c r="C87" s="11"/>
      <c r="D87" s="11"/>
      <c r="E87" s="11"/>
      <c r="F87" s="11"/>
      <c r="G87" s="11"/>
    </row>
    <row r="88" spans="2:7" x14ac:dyDescent="0.25">
      <c r="B88" s="11"/>
      <c r="C88" s="11"/>
      <c r="D88" s="11"/>
      <c r="E88" s="11"/>
      <c r="F88" s="11"/>
      <c r="G88" s="11"/>
    </row>
    <row r="89" spans="2:7" x14ac:dyDescent="0.25">
      <c r="B89" s="11"/>
      <c r="C89" s="11"/>
      <c r="D89" s="11"/>
      <c r="E89" s="11"/>
      <c r="F89" s="11"/>
      <c r="G89" s="11"/>
    </row>
    <row r="90" spans="2:7" x14ac:dyDescent="0.25">
      <c r="B90" s="11"/>
      <c r="C90" s="11"/>
      <c r="D90" s="11"/>
      <c r="E90" s="11"/>
      <c r="F90" s="11"/>
      <c r="G90" s="11"/>
    </row>
    <row r="91" spans="2:7" x14ac:dyDescent="0.25">
      <c r="B91" s="11"/>
      <c r="C91" s="11"/>
      <c r="D91" s="11"/>
      <c r="E91" s="11"/>
      <c r="F91" s="11"/>
      <c r="G91" s="11"/>
    </row>
    <row r="92" spans="2:7" x14ac:dyDescent="0.25">
      <c r="B92" s="11"/>
      <c r="C92" s="11"/>
      <c r="D92" s="11"/>
      <c r="E92" s="11"/>
      <c r="F92" s="11"/>
      <c r="G92" s="11"/>
    </row>
    <row r="93" spans="2:7" x14ac:dyDescent="0.25">
      <c r="B93" s="11"/>
      <c r="C93" s="11"/>
      <c r="D93" s="11"/>
      <c r="E93" s="11"/>
      <c r="F93" s="11"/>
      <c r="G93" s="11"/>
    </row>
    <row r="94" spans="2:7" x14ac:dyDescent="0.25">
      <c r="B94" s="11"/>
      <c r="C94" s="11"/>
      <c r="D94" s="11"/>
      <c r="E94" s="11"/>
      <c r="F94" s="11"/>
      <c r="G94" s="11"/>
    </row>
    <row r="95" spans="2:7" x14ac:dyDescent="0.25">
      <c r="B95" s="11"/>
      <c r="C95" s="11"/>
      <c r="D95" s="11"/>
      <c r="E95" s="11"/>
      <c r="F95" s="11"/>
      <c r="G95" s="11"/>
    </row>
    <row r="96" spans="2:7" x14ac:dyDescent="0.25">
      <c r="B96" s="11"/>
      <c r="C96" s="11"/>
      <c r="D96" s="11"/>
      <c r="E96" s="11"/>
      <c r="F96" s="11"/>
      <c r="G96" s="11"/>
    </row>
    <row r="97" spans="2:7" x14ac:dyDescent="0.25">
      <c r="B97" s="11"/>
      <c r="C97" s="11"/>
      <c r="D97" s="11"/>
      <c r="E97" s="11"/>
      <c r="F97" s="11"/>
      <c r="G97" s="11"/>
    </row>
    <row r="98" spans="2:7" x14ac:dyDescent="0.25">
      <c r="B98" s="11"/>
      <c r="C98" s="11"/>
      <c r="D98" s="11"/>
      <c r="E98" s="11"/>
      <c r="F98" s="11"/>
      <c r="G98" s="11"/>
    </row>
    <row r="99" spans="2:7" x14ac:dyDescent="0.25">
      <c r="B99" s="11"/>
      <c r="C99" s="11"/>
      <c r="D99" s="11"/>
      <c r="E99" s="11"/>
      <c r="F99" s="11"/>
      <c r="G99" s="11"/>
    </row>
    <row r="100" spans="2:7" x14ac:dyDescent="0.25">
      <c r="B100" s="11"/>
      <c r="C100" s="11"/>
      <c r="D100" s="11"/>
      <c r="E100" s="11"/>
      <c r="F100" s="11"/>
      <c r="G100" s="11"/>
    </row>
    <row r="101" spans="2:7" x14ac:dyDescent="0.25">
      <c r="B101" s="11"/>
      <c r="C101" s="11"/>
      <c r="D101" s="11"/>
      <c r="E101" s="11"/>
      <c r="F101" s="11"/>
      <c r="G101" s="11"/>
    </row>
    <row r="102" spans="2:7" x14ac:dyDescent="0.25">
      <c r="B102" s="11"/>
      <c r="C102" s="11"/>
      <c r="D102" s="11"/>
      <c r="E102" s="11"/>
      <c r="F102" s="11"/>
      <c r="G102" s="11"/>
    </row>
    <row r="103" spans="2:7" x14ac:dyDescent="0.25">
      <c r="B103" s="11"/>
      <c r="C103" s="11"/>
      <c r="D103" s="11"/>
      <c r="E103" s="11"/>
      <c r="F103" s="11"/>
      <c r="G103" s="11"/>
    </row>
    <row r="104" spans="2:7" x14ac:dyDescent="0.25">
      <c r="B104" s="11"/>
      <c r="C104" s="11"/>
      <c r="D104" s="11"/>
      <c r="E104" s="11"/>
      <c r="F104" s="11"/>
      <c r="G104" s="11"/>
    </row>
    <row r="105" spans="2:7" x14ac:dyDescent="0.25">
      <c r="B105" s="11"/>
      <c r="C105" s="11"/>
      <c r="D105" s="11"/>
      <c r="E105" s="11"/>
      <c r="F105" s="11"/>
      <c r="G105" s="11"/>
    </row>
    <row r="106" spans="2:7" x14ac:dyDescent="0.25">
      <c r="B106" s="11"/>
      <c r="C106" s="11"/>
      <c r="D106" s="11"/>
      <c r="E106" s="11"/>
      <c r="F106" s="11"/>
      <c r="G106" s="11"/>
    </row>
    <row r="107" spans="2:7" x14ac:dyDescent="0.25">
      <c r="B107" s="11"/>
      <c r="C107" s="11"/>
      <c r="D107" s="11"/>
      <c r="E107" s="11"/>
      <c r="F107" s="11"/>
      <c r="G107" s="11"/>
    </row>
    <row r="108" spans="2:7" x14ac:dyDescent="0.25">
      <c r="B108" s="11"/>
      <c r="C108" s="11"/>
      <c r="D108" s="11"/>
      <c r="E108" s="11"/>
      <c r="F108" s="11"/>
      <c r="G108" s="11"/>
    </row>
    <row r="109" spans="2:7" x14ac:dyDescent="0.25">
      <c r="B109" s="11"/>
      <c r="C109" s="11"/>
      <c r="D109" s="11"/>
      <c r="E109" s="11"/>
      <c r="F109" s="11"/>
      <c r="G109" s="11"/>
    </row>
    <row r="110" spans="2:7" x14ac:dyDescent="0.25">
      <c r="B110" s="11"/>
      <c r="C110" s="11"/>
      <c r="D110" s="11"/>
      <c r="E110" s="11"/>
      <c r="F110" s="11"/>
      <c r="G110" s="11"/>
    </row>
    <row r="111" spans="2:7" x14ac:dyDescent="0.25">
      <c r="B111" s="11"/>
      <c r="C111" s="11"/>
      <c r="D111" s="11"/>
      <c r="E111" s="11"/>
      <c r="F111" s="11"/>
      <c r="G111" s="11"/>
    </row>
    <row r="112" spans="2:7" x14ac:dyDescent="0.25">
      <c r="B112" s="11"/>
      <c r="C112" s="11"/>
      <c r="D112" s="11"/>
      <c r="E112" s="11"/>
      <c r="F112" s="11"/>
      <c r="G112" s="11"/>
    </row>
    <row r="113" spans="2:7" x14ac:dyDescent="0.25">
      <c r="B113" s="11"/>
      <c r="C113" s="11"/>
      <c r="D113" s="11"/>
      <c r="E113" s="11"/>
      <c r="F113" s="11"/>
      <c r="G113" s="11"/>
    </row>
    <row r="114" spans="2:7" x14ac:dyDescent="0.25">
      <c r="B114" s="11"/>
      <c r="C114" s="11"/>
      <c r="D114" s="11"/>
      <c r="E114" s="11"/>
      <c r="F114" s="11"/>
      <c r="G114" s="11"/>
    </row>
    <row r="115" spans="2:7" x14ac:dyDescent="0.25">
      <c r="B115" s="11"/>
      <c r="C115" s="11"/>
      <c r="D115" s="11"/>
      <c r="E115" s="11"/>
      <c r="F115" s="11"/>
      <c r="G115" s="11"/>
    </row>
    <row r="116" spans="2:7" x14ac:dyDescent="0.25">
      <c r="B116" s="11"/>
      <c r="C116" s="11"/>
      <c r="D116" s="11"/>
      <c r="E116" s="11"/>
      <c r="F116" s="11"/>
      <c r="G116" s="11"/>
    </row>
    <row r="117" spans="2:7" x14ac:dyDescent="0.25">
      <c r="B117" s="11"/>
      <c r="C117" s="11"/>
      <c r="D117" s="11"/>
      <c r="E117" s="11"/>
      <c r="F117" s="11"/>
      <c r="G117" s="11"/>
    </row>
    <row r="118" spans="2:7" x14ac:dyDescent="0.25">
      <c r="B118" s="11"/>
      <c r="C118" s="11"/>
      <c r="D118" s="11"/>
      <c r="E118" s="11"/>
      <c r="F118" s="11"/>
      <c r="G118" s="11"/>
    </row>
    <row r="119" spans="2:7" x14ac:dyDescent="0.25">
      <c r="B119" s="11"/>
      <c r="C119" s="11"/>
      <c r="D119" s="11"/>
      <c r="E119" s="11"/>
      <c r="F119" s="11"/>
      <c r="G119" s="11"/>
    </row>
    <row r="120" spans="2:7" x14ac:dyDescent="0.25">
      <c r="B120" s="11"/>
      <c r="C120" s="11"/>
      <c r="D120" s="11"/>
      <c r="E120" s="11"/>
      <c r="F120" s="11"/>
      <c r="G120" s="11"/>
    </row>
    <row r="121" spans="2:7" x14ac:dyDescent="0.25">
      <c r="B121" s="11"/>
      <c r="C121" s="11"/>
      <c r="D121" s="11"/>
      <c r="E121" s="11"/>
      <c r="F121" s="11"/>
      <c r="G121" s="11"/>
    </row>
    <row r="122" spans="2:7" x14ac:dyDescent="0.25">
      <c r="B122" s="11"/>
      <c r="C122" s="11"/>
      <c r="D122" s="11"/>
      <c r="E122" s="11"/>
      <c r="F122" s="11"/>
      <c r="G122" s="11"/>
    </row>
    <row r="123" spans="2:7" x14ac:dyDescent="0.25">
      <c r="B123" s="11"/>
      <c r="C123" s="11"/>
      <c r="D123" s="11"/>
      <c r="E123" s="11"/>
      <c r="F123" s="11"/>
      <c r="G123" s="11"/>
    </row>
    <row r="124" spans="2:7" x14ac:dyDescent="0.25">
      <c r="B124" s="11"/>
      <c r="C124" s="11"/>
      <c r="D124" s="11"/>
      <c r="E124" s="11"/>
      <c r="F124" s="11"/>
      <c r="G124" s="11"/>
    </row>
    <row r="125" spans="2:7" x14ac:dyDescent="0.25">
      <c r="B125" s="11"/>
      <c r="C125" s="11"/>
      <c r="D125" s="11"/>
      <c r="E125" s="11"/>
      <c r="F125" s="11"/>
      <c r="G125" s="11"/>
    </row>
    <row r="126" spans="2:7" x14ac:dyDescent="0.25">
      <c r="B126" s="11"/>
      <c r="C126" s="11"/>
      <c r="D126" s="11"/>
      <c r="E126" s="11"/>
      <c r="F126" s="11"/>
      <c r="G126" s="11"/>
    </row>
    <row r="127" spans="2:7" x14ac:dyDescent="0.25">
      <c r="B127" s="11"/>
      <c r="C127" s="11"/>
      <c r="D127" s="11"/>
      <c r="E127" s="11"/>
      <c r="F127" s="11"/>
      <c r="G127" s="11"/>
    </row>
    <row r="128" spans="2:7" x14ac:dyDescent="0.25">
      <c r="B128" s="11"/>
      <c r="C128" s="11"/>
      <c r="D128" s="11"/>
      <c r="E128" s="11"/>
      <c r="F128" s="11"/>
      <c r="G128" s="11"/>
    </row>
    <row r="129" spans="2:7" x14ac:dyDescent="0.25">
      <c r="B129" s="11"/>
      <c r="C129" s="11"/>
      <c r="D129" s="11"/>
      <c r="E129" s="11"/>
      <c r="F129" s="11"/>
      <c r="G129" s="11"/>
    </row>
    <row r="130" spans="2:7" x14ac:dyDescent="0.25">
      <c r="B130" s="11"/>
      <c r="C130" s="11"/>
      <c r="D130" s="11"/>
      <c r="E130" s="11"/>
      <c r="F130" s="11"/>
      <c r="G130" s="11"/>
    </row>
    <row r="131" spans="2:7" x14ac:dyDescent="0.25">
      <c r="B131" s="11"/>
      <c r="C131" s="11"/>
      <c r="D131" s="11"/>
      <c r="E131" s="11"/>
      <c r="F131" s="11"/>
      <c r="G131" s="11"/>
    </row>
    <row r="132" spans="2:7" x14ac:dyDescent="0.25">
      <c r="B132" s="11"/>
      <c r="C132" s="11"/>
      <c r="D132" s="11"/>
      <c r="E132" s="11"/>
      <c r="F132" s="11"/>
      <c r="G132" s="11"/>
    </row>
    <row r="133" spans="2:7" x14ac:dyDescent="0.25">
      <c r="B133" s="11"/>
      <c r="C133" s="11"/>
      <c r="D133" s="11"/>
      <c r="E133" s="11"/>
      <c r="F133" s="11"/>
      <c r="G133" s="11"/>
    </row>
    <row r="134" spans="2:7" x14ac:dyDescent="0.25">
      <c r="B134" s="11"/>
      <c r="C134" s="11"/>
      <c r="D134" s="11"/>
      <c r="E134" s="11"/>
      <c r="F134" s="11"/>
      <c r="G134" s="11"/>
    </row>
    <row r="135" spans="2:7" x14ac:dyDescent="0.25">
      <c r="B135" s="11"/>
      <c r="C135" s="11"/>
      <c r="D135" s="11"/>
      <c r="E135" s="11"/>
      <c r="F135" s="11"/>
      <c r="G135" s="11"/>
    </row>
    <row r="136" spans="2:7" x14ac:dyDescent="0.25">
      <c r="B136" s="11"/>
      <c r="C136" s="11"/>
      <c r="D136" s="11"/>
      <c r="E136" s="11"/>
      <c r="F136" s="11"/>
      <c r="G136" s="11"/>
    </row>
    <row r="137" spans="2:7" x14ac:dyDescent="0.25">
      <c r="B137" s="11"/>
      <c r="C137" s="11"/>
      <c r="D137" s="11"/>
      <c r="E137" s="11"/>
      <c r="F137" s="11"/>
      <c r="G137" s="11"/>
    </row>
    <row r="138" spans="2:7" x14ac:dyDescent="0.25">
      <c r="B138" s="11"/>
      <c r="C138" s="11"/>
      <c r="D138" s="11"/>
      <c r="E138" s="11"/>
      <c r="F138" s="11"/>
      <c r="G138" s="11"/>
    </row>
    <row r="139" spans="2:7" x14ac:dyDescent="0.25">
      <c r="B139" s="11"/>
      <c r="C139" s="11"/>
      <c r="D139" s="11"/>
      <c r="E139" s="11"/>
      <c r="F139" s="11"/>
      <c r="G139" s="11"/>
    </row>
    <row r="140" spans="2:7" x14ac:dyDescent="0.25">
      <c r="B140" s="11"/>
      <c r="C140" s="11"/>
      <c r="D140" s="11"/>
      <c r="E140" s="11"/>
      <c r="F140" s="11"/>
      <c r="G140" s="11"/>
    </row>
    <row r="141" spans="2:7" x14ac:dyDescent="0.25">
      <c r="B141" s="11"/>
      <c r="C141" s="11"/>
      <c r="D141" s="11"/>
      <c r="E141" s="11"/>
      <c r="F141" s="11"/>
      <c r="G141" s="11"/>
    </row>
    <row r="142" spans="2:7" x14ac:dyDescent="0.25">
      <c r="B142" s="11"/>
      <c r="C142" s="11"/>
      <c r="D142" s="11"/>
      <c r="E142" s="11"/>
      <c r="F142" s="11"/>
      <c r="G142" s="11"/>
    </row>
    <row r="143" spans="2:7" x14ac:dyDescent="0.25">
      <c r="B143" s="11"/>
      <c r="C143" s="11"/>
      <c r="D143" s="11"/>
      <c r="E143" s="11"/>
      <c r="F143" s="11"/>
      <c r="G143" s="11"/>
    </row>
    <row r="144" spans="2:7" x14ac:dyDescent="0.25">
      <c r="B144" s="11"/>
      <c r="C144" s="11"/>
      <c r="D144" s="11"/>
      <c r="E144" s="11"/>
      <c r="F144" s="11"/>
      <c r="G144" s="11"/>
    </row>
    <row r="145" spans="2:7" x14ac:dyDescent="0.25">
      <c r="B145" s="11"/>
      <c r="C145" s="11"/>
      <c r="D145" s="11"/>
      <c r="E145" s="11"/>
      <c r="F145" s="11"/>
      <c r="G145" s="11"/>
    </row>
    <row r="146" spans="2:7" x14ac:dyDescent="0.25">
      <c r="B146" s="11"/>
      <c r="C146" s="11"/>
      <c r="D146" s="11"/>
      <c r="E146" s="11"/>
      <c r="F146" s="11"/>
      <c r="G146" s="11"/>
    </row>
    <row r="147" spans="2:7" x14ac:dyDescent="0.25">
      <c r="B147" s="11"/>
      <c r="C147" s="11"/>
      <c r="D147" s="11"/>
      <c r="E147" s="11"/>
      <c r="F147" s="11"/>
      <c r="G147" s="11"/>
    </row>
    <row r="148" spans="2:7" x14ac:dyDescent="0.25">
      <c r="B148" s="11"/>
      <c r="C148" s="11"/>
      <c r="D148" s="11"/>
      <c r="E148" s="11"/>
      <c r="F148" s="11"/>
      <c r="G148" s="11"/>
    </row>
    <row r="149" spans="2:7" x14ac:dyDescent="0.25">
      <c r="B149" s="11"/>
      <c r="C149" s="11"/>
      <c r="D149" s="11"/>
      <c r="E149" s="11"/>
      <c r="F149" s="11"/>
      <c r="G149" s="11"/>
    </row>
    <row r="150" spans="2:7" x14ac:dyDescent="0.25">
      <c r="B150" s="11"/>
      <c r="C150" s="11"/>
      <c r="D150" s="11"/>
      <c r="E150" s="11"/>
      <c r="F150" s="11"/>
      <c r="G150" s="11"/>
    </row>
    <row r="151" spans="2:7" x14ac:dyDescent="0.25">
      <c r="B151" s="11"/>
      <c r="C151" s="11"/>
      <c r="D151" s="11"/>
      <c r="E151" s="11"/>
      <c r="F151" s="11"/>
      <c r="G151" s="11"/>
    </row>
    <row r="152" spans="2:7" x14ac:dyDescent="0.25">
      <c r="B152" s="11"/>
      <c r="C152" s="11"/>
      <c r="D152" s="11"/>
      <c r="E152" s="11"/>
      <c r="F152" s="11"/>
      <c r="G152" s="11"/>
    </row>
    <row r="153" spans="2:7" x14ac:dyDescent="0.25">
      <c r="B153" s="11"/>
      <c r="C153" s="11"/>
      <c r="D153" s="11"/>
      <c r="E153" s="11"/>
      <c r="F153" s="11"/>
      <c r="G153" s="11"/>
    </row>
    <row r="154" spans="2:7" x14ac:dyDescent="0.25">
      <c r="B154" s="11"/>
      <c r="C154" s="11"/>
      <c r="D154" s="11"/>
      <c r="E154" s="11"/>
      <c r="F154" s="11"/>
      <c r="G154" s="11"/>
    </row>
    <row r="155" spans="2:7" x14ac:dyDescent="0.25">
      <c r="B155" s="11"/>
      <c r="C155" s="11"/>
      <c r="D155" s="11"/>
      <c r="E155" s="11"/>
      <c r="F155" s="11"/>
      <c r="G155" s="11"/>
    </row>
    <row r="156" spans="2:7" x14ac:dyDescent="0.25">
      <c r="B156" s="11"/>
      <c r="C156" s="11"/>
      <c r="D156" s="11"/>
      <c r="E156" s="11"/>
      <c r="F156" s="11"/>
      <c r="G156" s="11"/>
    </row>
    <row r="157" spans="2:7" x14ac:dyDescent="0.25">
      <c r="B157" s="11"/>
      <c r="C157" s="11"/>
      <c r="D157" s="11"/>
      <c r="E157" s="11"/>
      <c r="F157" s="11"/>
      <c r="G157" s="11"/>
    </row>
    <row r="158" spans="2:7" x14ac:dyDescent="0.25">
      <c r="B158" s="11"/>
      <c r="C158" s="11"/>
      <c r="D158" s="11"/>
      <c r="E158" s="11"/>
      <c r="F158" s="11"/>
      <c r="G158" s="11"/>
    </row>
    <row r="159" spans="2:7" x14ac:dyDescent="0.25">
      <c r="B159" s="11"/>
      <c r="C159" s="11"/>
      <c r="D159" s="11"/>
      <c r="E159" s="11"/>
      <c r="F159" s="11"/>
      <c r="G159" s="11"/>
    </row>
    <row r="160" spans="2:7" x14ac:dyDescent="0.25">
      <c r="B160" s="11"/>
      <c r="C160" s="11"/>
      <c r="D160" s="11"/>
      <c r="E160" s="11"/>
      <c r="F160" s="11"/>
      <c r="G160" s="11"/>
    </row>
    <row r="161" spans="2:7" x14ac:dyDescent="0.25">
      <c r="B161" s="11"/>
      <c r="C161" s="11"/>
      <c r="D161" s="11"/>
      <c r="E161" s="11"/>
      <c r="F161" s="11"/>
      <c r="G161" s="11"/>
    </row>
    <row r="162" spans="2:7" x14ac:dyDescent="0.25">
      <c r="B162" s="11"/>
      <c r="C162" s="11"/>
      <c r="D162" s="11"/>
      <c r="E162" s="11"/>
      <c r="F162" s="11"/>
      <c r="G162" s="11"/>
    </row>
    <row r="163" spans="2:7" x14ac:dyDescent="0.25">
      <c r="B163" s="11"/>
      <c r="C163" s="11"/>
      <c r="D163" s="11"/>
      <c r="E163" s="11"/>
      <c r="F163" s="11"/>
      <c r="G163" s="11"/>
    </row>
    <row r="164" spans="2:7" x14ac:dyDescent="0.25">
      <c r="B164" s="11"/>
      <c r="C164" s="11"/>
      <c r="D164" s="11"/>
      <c r="E164" s="11"/>
      <c r="F164" s="11"/>
      <c r="G164" s="11"/>
    </row>
    <row r="165" spans="2:7" x14ac:dyDescent="0.25">
      <c r="B165" s="11"/>
      <c r="C165" s="11"/>
      <c r="D165" s="11"/>
      <c r="E165" s="11"/>
      <c r="F165" s="11"/>
      <c r="G165" s="11"/>
    </row>
    <row r="166" spans="2:7" x14ac:dyDescent="0.25">
      <c r="B166" s="11"/>
      <c r="C166" s="11"/>
      <c r="D166" s="11"/>
      <c r="E166" s="11"/>
      <c r="F166" s="11"/>
      <c r="G166" s="11"/>
    </row>
    <row r="167" spans="2:7" x14ac:dyDescent="0.25">
      <c r="B167" s="11"/>
      <c r="C167" s="11"/>
      <c r="D167" s="11"/>
      <c r="E167" s="11"/>
      <c r="F167" s="11"/>
      <c r="G167" s="11"/>
    </row>
    <row r="168" spans="2:7" x14ac:dyDescent="0.25">
      <c r="B168" s="11"/>
      <c r="C168" s="11"/>
      <c r="D168" s="11"/>
      <c r="E168" s="11"/>
      <c r="F168" s="11"/>
      <c r="G168" s="11"/>
    </row>
    <row r="169" spans="2:7" x14ac:dyDescent="0.25">
      <c r="B169" s="11"/>
      <c r="C169" s="11"/>
      <c r="D169" s="11"/>
      <c r="E169" s="11"/>
      <c r="F169" s="11"/>
      <c r="G169" s="11"/>
    </row>
    <row r="170" spans="2:7" x14ac:dyDescent="0.25">
      <c r="B170" s="11"/>
      <c r="C170" s="11"/>
      <c r="D170" s="11"/>
      <c r="E170" s="11"/>
      <c r="F170" s="11"/>
      <c r="G170" s="11"/>
    </row>
    <row r="171" spans="2:7" x14ac:dyDescent="0.25">
      <c r="B171" s="11"/>
      <c r="C171" s="11"/>
      <c r="D171" s="11"/>
      <c r="E171" s="11"/>
      <c r="F171" s="11"/>
      <c r="G171" s="11"/>
    </row>
    <row r="172" spans="2:7" x14ac:dyDescent="0.25">
      <c r="B172" s="11"/>
      <c r="C172" s="11"/>
      <c r="D172" s="11"/>
      <c r="E172" s="11"/>
      <c r="F172" s="11"/>
      <c r="G172" s="11"/>
    </row>
    <row r="173" spans="2:7" x14ac:dyDescent="0.25">
      <c r="B173" s="11"/>
      <c r="C173" s="11"/>
      <c r="D173" s="11"/>
      <c r="E173" s="11"/>
      <c r="F173" s="11"/>
      <c r="G173" s="11"/>
    </row>
    <row r="174" spans="2:7" x14ac:dyDescent="0.25">
      <c r="B174" s="11"/>
      <c r="C174" s="11"/>
      <c r="D174" s="11"/>
      <c r="E174" s="11"/>
      <c r="F174" s="11"/>
      <c r="G174" s="11"/>
    </row>
    <row r="175" spans="2:7" x14ac:dyDescent="0.25">
      <c r="B175" s="11"/>
      <c r="C175" s="11"/>
      <c r="D175" s="11"/>
      <c r="E175" s="11"/>
      <c r="F175" s="11"/>
      <c r="G175" s="11"/>
    </row>
    <row r="176" spans="2:7" x14ac:dyDescent="0.25">
      <c r="B176" s="11"/>
      <c r="C176" s="11"/>
      <c r="D176" s="11"/>
      <c r="E176" s="11"/>
      <c r="F176" s="11"/>
      <c r="G176" s="11"/>
    </row>
    <row r="177" spans="2:7" x14ac:dyDescent="0.25">
      <c r="B177" s="11"/>
      <c r="C177" s="11"/>
      <c r="D177" s="11"/>
      <c r="E177" s="11"/>
      <c r="F177" s="11"/>
      <c r="G177" s="11"/>
    </row>
    <row r="178" spans="2:7" x14ac:dyDescent="0.25">
      <c r="B178" s="11"/>
      <c r="C178" s="11"/>
      <c r="D178" s="11"/>
      <c r="E178" s="11"/>
      <c r="F178" s="11"/>
      <c r="G178" s="11"/>
    </row>
    <row r="179" spans="2:7" x14ac:dyDescent="0.25">
      <c r="B179" s="11"/>
      <c r="C179" s="11"/>
      <c r="D179" s="11"/>
      <c r="E179" s="11"/>
      <c r="F179" s="11"/>
      <c r="G179" s="11"/>
    </row>
    <row r="180" spans="2:7" x14ac:dyDescent="0.25">
      <c r="B180" s="11"/>
      <c r="C180" s="11"/>
      <c r="D180" s="11"/>
      <c r="E180" s="11"/>
      <c r="F180" s="11"/>
      <c r="G180" s="11"/>
    </row>
    <row r="181" spans="2:7" x14ac:dyDescent="0.25">
      <c r="B181" s="11"/>
      <c r="C181" s="11"/>
      <c r="D181" s="11"/>
      <c r="E181" s="11"/>
      <c r="F181" s="11"/>
      <c r="G181" s="11"/>
    </row>
    <row r="182" spans="2:7" x14ac:dyDescent="0.25">
      <c r="B182" s="11"/>
      <c r="C182" s="11"/>
      <c r="D182" s="11"/>
      <c r="E182" s="11"/>
      <c r="F182" s="11"/>
      <c r="G182" s="11"/>
    </row>
    <row r="183" spans="2:7" x14ac:dyDescent="0.25">
      <c r="B183" s="11"/>
      <c r="C183" s="11"/>
      <c r="D183" s="11"/>
      <c r="E183" s="11"/>
      <c r="F183" s="11"/>
      <c r="G183" s="11"/>
    </row>
    <row r="184" spans="2:7" x14ac:dyDescent="0.25">
      <c r="B184" s="11"/>
      <c r="C184" s="11"/>
      <c r="D184" s="11"/>
      <c r="E184" s="11"/>
      <c r="F184" s="11"/>
      <c r="G184" s="11"/>
    </row>
    <row r="185" spans="2:7" x14ac:dyDescent="0.25">
      <c r="B185" s="11"/>
      <c r="C185" s="11"/>
      <c r="D185" s="11"/>
      <c r="E185" s="11"/>
      <c r="F185" s="11"/>
      <c r="G185" s="11"/>
    </row>
    <row r="186" spans="2:7" x14ac:dyDescent="0.25">
      <c r="B186" s="11"/>
      <c r="C186" s="11"/>
      <c r="D186" s="11"/>
      <c r="E186" s="11"/>
      <c r="F186" s="11"/>
      <c r="G186" s="11"/>
    </row>
    <row r="187" spans="2:7" x14ac:dyDescent="0.25">
      <c r="B187" s="11"/>
      <c r="C187" s="11"/>
      <c r="D187" s="11"/>
      <c r="E187" s="11"/>
      <c r="F187" s="11"/>
      <c r="G187" s="11"/>
    </row>
    <row r="188" spans="2:7" x14ac:dyDescent="0.25">
      <c r="B188" s="11"/>
      <c r="C188" s="11"/>
      <c r="D188" s="11"/>
      <c r="E188" s="11"/>
      <c r="F188" s="11"/>
      <c r="G188" s="11"/>
    </row>
    <row r="189" spans="2:7" x14ac:dyDescent="0.25">
      <c r="B189" s="11"/>
      <c r="C189" s="11"/>
      <c r="D189" s="11"/>
      <c r="E189" s="11"/>
      <c r="F189" s="11"/>
      <c r="G189" s="11"/>
    </row>
    <row r="190" spans="2:7" x14ac:dyDescent="0.25">
      <c r="B190" s="11"/>
      <c r="C190" s="11"/>
      <c r="D190" s="11"/>
      <c r="E190" s="11"/>
      <c r="F190" s="11"/>
      <c r="G190" s="11"/>
    </row>
    <row r="191" spans="2:7" x14ac:dyDescent="0.25">
      <c r="B191" s="11"/>
      <c r="C191" s="11"/>
      <c r="D191" s="11"/>
      <c r="E191" s="11"/>
      <c r="F191" s="11"/>
      <c r="G191" s="11"/>
    </row>
    <row r="192" spans="2:7" x14ac:dyDescent="0.25">
      <c r="B192" s="11"/>
      <c r="C192" s="11"/>
      <c r="D192" s="11"/>
      <c r="E192" s="11"/>
      <c r="F192" s="11"/>
      <c r="G192" s="11"/>
    </row>
    <row r="193" spans="2:7" x14ac:dyDescent="0.25">
      <c r="B193" s="11"/>
      <c r="C193" s="11"/>
      <c r="D193" s="11"/>
      <c r="E193" s="11"/>
      <c r="F193" s="11"/>
      <c r="G193" s="11"/>
    </row>
    <row r="194" spans="2:7" x14ac:dyDescent="0.25">
      <c r="B194" s="11"/>
      <c r="C194" s="11"/>
      <c r="D194" s="11"/>
      <c r="E194" s="11"/>
      <c r="F194" s="11"/>
      <c r="G194" s="11"/>
    </row>
    <row r="195" spans="2:7" x14ac:dyDescent="0.25">
      <c r="B195" s="11"/>
      <c r="C195" s="11"/>
      <c r="D195" s="11"/>
      <c r="E195" s="11"/>
      <c r="F195" s="11"/>
      <c r="G195" s="11"/>
    </row>
    <row r="196" spans="2:7" x14ac:dyDescent="0.25">
      <c r="B196" s="11"/>
      <c r="C196" s="11"/>
      <c r="D196" s="11"/>
      <c r="E196" s="11"/>
      <c r="F196" s="11"/>
      <c r="G196" s="11"/>
    </row>
    <row r="197" spans="2:7" x14ac:dyDescent="0.25">
      <c r="B197" s="11"/>
      <c r="C197" s="11"/>
      <c r="D197" s="11"/>
      <c r="E197" s="11"/>
      <c r="F197" s="11"/>
      <c r="G197" s="11"/>
    </row>
    <row r="198" spans="2:7" x14ac:dyDescent="0.25">
      <c r="B198" s="11"/>
      <c r="C198" s="11"/>
      <c r="D198" s="11"/>
      <c r="E198" s="11"/>
      <c r="F198" s="11"/>
      <c r="G198" s="11"/>
    </row>
    <row r="199" spans="2:7" x14ac:dyDescent="0.25">
      <c r="B199" s="11"/>
      <c r="C199" s="11"/>
      <c r="D199" s="11"/>
      <c r="E199" s="11"/>
      <c r="F199" s="11"/>
      <c r="G199" s="11"/>
    </row>
    <row r="200" spans="2:7" x14ac:dyDescent="0.25">
      <c r="B200" s="11"/>
      <c r="C200" s="11"/>
      <c r="D200" s="11"/>
      <c r="E200" s="11"/>
      <c r="F200" s="11"/>
      <c r="G200" s="11"/>
    </row>
    <row r="201" spans="2:7" x14ac:dyDescent="0.25">
      <c r="B201" s="11"/>
      <c r="C201" s="11"/>
      <c r="D201" s="11"/>
      <c r="E201" s="11"/>
      <c r="F201" s="11"/>
      <c r="G201" s="11"/>
    </row>
    <row r="202" spans="2:7" x14ac:dyDescent="0.25">
      <c r="B202" s="11"/>
      <c r="C202" s="11"/>
      <c r="D202" s="11"/>
      <c r="E202" s="11"/>
      <c r="F202" s="11"/>
      <c r="G202" s="11"/>
    </row>
    <row r="203" spans="2:7" x14ac:dyDescent="0.25">
      <c r="B203" s="11"/>
      <c r="C203" s="11"/>
      <c r="D203" s="11"/>
      <c r="E203" s="11"/>
      <c r="F203" s="11"/>
      <c r="G203" s="11"/>
    </row>
    <row r="204" spans="2:7" x14ac:dyDescent="0.25">
      <c r="B204" s="11"/>
      <c r="C204" s="11"/>
      <c r="D204" s="11"/>
      <c r="E204" s="11"/>
      <c r="F204" s="11"/>
      <c r="G204" s="11"/>
    </row>
    <row r="205" spans="2:7" x14ac:dyDescent="0.25">
      <c r="B205" s="11"/>
      <c r="C205" s="11"/>
      <c r="D205" s="11"/>
      <c r="E205" s="11"/>
      <c r="F205" s="11"/>
      <c r="G205" s="11"/>
    </row>
    <row r="206" spans="2:7" x14ac:dyDescent="0.25">
      <c r="B206" s="11"/>
      <c r="C206" s="11"/>
      <c r="D206" s="11"/>
      <c r="E206" s="11"/>
      <c r="F206" s="11"/>
      <c r="G206" s="11"/>
    </row>
    <row r="207" spans="2:7" x14ac:dyDescent="0.25">
      <c r="B207" s="11"/>
      <c r="C207" s="11"/>
      <c r="D207" s="11"/>
      <c r="E207" s="11"/>
      <c r="F207" s="11"/>
      <c r="G207" s="11"/>
    </row>
    <row r="208" spans="2:7" x14ac:dyDescent="0.25">
      <c r="B208" s="11"/>
      <c r="C208" s="11"/>
      <c r="D208" s="11"/>
      <c r="E208" s="11"/>
      <c r="F208" s="11"/>
      <c r="G208" s="11"/>
    </row>
    <row r="209" spans="2:7" x14ac:dyDescent="0.25">
      <c r="B209" s="11"/>
      <c r="C209" s="11"/>
      <c r="D209" s="11"/>
      <c r="E209" s="11"/>
      <c r="F209" s="11"/>
      <c r="G209" s="11"/>
    </row>
    <row r="210" spans="2:7" x14ac:dyDescent="0.25">
      <c r="B210" s="11"/>
      <c r="C210" s="11"/>
      <c r="D210" s="11"/>
      <c r="E210" s="11"/>
      <c r="F210" s="11"/>
      <c r="G210" s="11"/>
    </row>
    <row r="211" spans="2:7" x14ac:dyDescent="0.25">
      <c r="B211" s="11"/>
      <c r="C211" s="11"/>
      <c r="D211" s="11"/>
      <c r="E211" s="11"/>
      <c r="F211" s="11"/>
      <c r="G211" s="11"/>
    </row>
    <row r="212" spans="2:7" x14ac:dyDescent="0.25">
      <c r="B212" s="11"/>
      <c r="C212" s="11"/>
      <c r="D212" s="11"/>
      <c r="E212" s="11"/>
      <c r="F212" s="11"/>
      <c r="G212" s="11"/>
    </row>
    <row r="213" spans="2:7" x14ac:dyDescent="0.25">
      <c r="B213" s="11"/>
      <c r="C213" s="11"/>
      <c r="D213" s="11"/>
      <c r="E213" s="11"/>
      <c r="F213" s="11"/>
      <c r="G213" s="11"/>
    </row>
    <row r="214" spans="2:7" x14ac:dyDescent="0.25">
      <c r="B214" s="11"/>
      <c r="C214" s="11"/>
      <c r="D214" s="11"/>
      <c r="E214" s="11"/>
      <c r="F214" s="11"/>
      <c r="G214" s="11"/>
    </row>
    <row r="215" spans="2:7" x14ac:dyDescent="0.25">
      <c r="B215" s="11"/>
      <c r="C215" s="11"/>
      <c r="D215" s="11"/>
      <c r="E215" s="11"/>
      <c r="F215" s="11"/>
      <c r="G215" s="11"/>
    </row>
    <row r="216" spans="2:7" x14ac:dyDescent="0.25">
      <c r="B216" s="11"/>
      <c r="C216" s="11"/>
      <c r="D216" s="11"/>
      <c r="E216" s="11"/>
      <c r="F216" s="11"/>
      <c r="G216" s="11"/>
    </row>
    <row r="217" spans="2:7" x14ac:dyDescent="0.25">
      <c r="B217" s="11"/>
      <c r="C217" s="11"/>
      <c r="D217" s="11"/>
      <c r="E217" s="11"/>
      <c r="F217" s="11"/>
      <c r="G217" s="11"/>
    </row>
    <row r="218" spans="2:7" x14ac:dyDescent="0.25">
      <c r="B218" s="11"/>
      <c r="C218" s="11"/>
      <c r="D218" s="11"/>
      <c r="E218" s="11"/>
      <c r="F218" s="11"/>
      <c r="G218" s="11"/>
    </row>
    <row r="219" spans="2:7" x14ac:dyDescent="0.25">
      <c r="B219" s="11"/>
      <c r="C219" s="11"/>
      <c r="D219" s="11"/>
      <c r="E219" s="11"/>
      <c r="F219" s="11"/>
      <c r="G219" s="11"/>
    </row>
    <row r="220" spans="2:7" x14ac:dyDescent="0.25">
      <c r="B220" s="11"/>
      <c r="C220" s="11"/>
      <c r="D220" s="11"/>
      <c r="E220" s="11"/>
      <c r="F220" s="11"/>
      <c r="G220" s="11"/>
    </row>
    <row r="221" spans="2:7" x14ac:dyDescent="0.25">
      <c r="B221" s="11"/>
      <c r="C221" s="11"/>
      <c r="D221" s="11"/>
      <c r="E221" s="11"/>
      <c r="F221" s="11"/>
      <c r="G221" s="11"/>
    </row>
    <row r="222" spans="2:7" x14ac:dyDescent="0.25">
      <c r="B222" s="11"/>
      <c r="C222" s="11"/>
      <c r="D222" s="11"/>
      <c r="E222" s="11"/>
      <c r="F222" s="11"/>
      <c r="G222" s="11"/>
    </row>
    <row r="223" spans="2:7" x14ac:dyDescent="0.25">
      <c r="B223" s="11"/>
      <c r="C223" s="11"/>
      <c r="D223" s="11"/>
      <c r="E223" s="11"/>
      <c r="F223" s="11"/>
      <c r="G223" s="11"/>
    </row>
    <row r="224" spans="2:7" x14ac:dyDescent="0.25">
      <c r="B224" s="11"/>
      <c r="C224" s="11"/>
      <c r="D224" s="11"/>
      <c r="E224" s="11"/>
      <c r="F224" s="11"/>
      <c r="G224" s="11"/>
    </row>
    <row r="225" spans="2:7" x14ac:dyDescent="0.25">
      <c r="B225" s="11"/>
      <c r="C225" s="11"/>
      <c r="D225" s="11"/>
      <c r="E225" s="11"/>
      <c r="F225" s="11"/>
      <c r="G225" s="11"/>
    </row>
    <row r="226" spans="2:7" x14ac:dyDescent="0.25">
      <c r="B226" s="11"/>
      <c r="C226" s="11"/>
      <c r="D226" s="11"/>
      <c r="E226" s="11"/>
      <c r="F226" s="11"/>
      <c r="G226" s="11"/>
    </row>
    <row r="227" spans="2:7" x14ac:dyDescent="0.25">
      <c r="B227" s="11"/>
      <c r="C227" s="11"/>
      <c r="D227" s="11"/>
      <c r="E227" s="11"/>
      <c r="F227" s="11"/>
      <c r="G227" s="11"/>
    </row>
    <row r="228" spans="2:7" x14ac:dyDescent="0.25">
      <c r="B228" s="11"/>
      <c r="C228" s="11"/>
      <c r="D228" s="11"/>
      <c r="E228" s="11"/>
      <c r="F228" s="11"/>
      <c r="G228" s="11"/>
    </row>
    <row r="229" spans="2:7" x14ac:dyDescent="0.25">
      <c r="B229" s="11"/>
      <c r="C229" s="11"/>
      <c r="D229" s="11"/>
      <c r="E229" s="11"/>
      <c r="F229" s="11"/>
      <c r="G229" s="11"/>
    </row>
    <row r="230" spans="2:7" x14ac:dyDescent="0.25">
      <c r="B230" s="11"/>
      <c r="C230" s="11"/>
      <c r="D230" s="11"/>
      <c r="E230" s="11"/>
      <c r="F230" s="11"/>
      <c r="G230" s="11"/>
    </row>
    <row r="231" spans="2:7" x14ac:dyDescent="0.25">
      <c r="B231" s="11"/>
      <c r="C231" s="11"/>
      <c r="D231" s="11"/>
      <c r="E231" s="11"/>
      <c r="F231" s="11"/>
      <c r="G231" s="11"/>
    </row>
    <row r="232" spans="2:7" x14ac:dyDescent="0.25">
      <c r="B232" s="11"/>
      <c r="C232" s="11"/>
      <c r="D232" s="11"/>
      <c r="E232" s="11"/>
      <c r="F232" s="11"/>
      <c r="G232" s="11"/>
    </row>
    <row r="233" spans="2:7" x14ac:dyDescent="0.25">
      <c r="B233" s="11"/>
      <c r="C233" s="11"/>
      <c r="D233" s="11"/>
      <c r="E233" s="11"/>
      <c r="F233" s="11"/>
      <c r="G233" s="11"/>
    </row>
    <row r="234" spans="2:7" x14ac:dyDescent="0.25">
      <c r="B234" s="11"/>
      <c r="C234" s="11"/>
      <c r="D234" s="11"/>
      <c r="E234" s="11"/>
      <c r="F234" s="11"/>
      <c r="G234" s="11"/>
    </row>
    <row r="235" spans="2:7" x14ac:dyDescent="0.25">
      <c r="B235" s="11"/>
      <c r="C235" s="11"/>
      <c r="D235" s="11"/>
      <c r="E235" s="11"/>
      <c r="F235" s="11"/>
      <c r="G235" s="11"/>
    </row>
    <row r="236" spans="2:7" x14ac:dyDescent="0.25">
      <c r="B236" s="11"/>
      <c r="C236" s="11"/>
      <c r="D236" s="11"/>
      <c r="E236" s="11"/>
      <c r="F236" s="11"/>
      <c r="G236" s="11"/>
    </row>
    <row r="237" spans="2:7" x14ac:dyDescent="0.25">
      <c r="B237" s="11"/>
      <c r="C237" s="11"/>
      <c r="D237" s="11"/>
      <c r="E237" s="11"/>
      <c r="F237" s="11"/>
      <c r="G237" s="11"/>
    </row>
    <row r="238" spans="2:7" x14ac:dyDescent="0.25">
      <c r="B238" s="11"/>
      <c r="C238" s="11"/>
      <c r="D238" s="11"/>
      <c r="E238" s="11"/>
      <c r="F238" s="11"/>
      <c r="G238" s="11"/>
    </row>
  </sheetData>
  <mergeCells count="1">
    <mergeCell ref="A1:F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"/>
  <sheetViews>
    <sheetView showGridLines="0" zoomScaleNormal="100" workbookViewId="0">
      <selection sqref="A1:F1"/>
    </sheetView>
  </sheetViews>
  <sheetFormatPr defaultRowHeight="15" x14ac:dyDescent="0.25"/>
  <cols>
    <col min="1" max="1" width="40.7109375" customWidth="1"/>
    <col min="2" max="6" width="13" customWidth="1"/>
  </cols>
  <sheetData>
    <row r="1" spans="1:6" ht="21" x14ac:dyDescent="0.35">
      <c r="A1" s="43" t="s">
        <v>72</v>
      </c>
      <c r="B1" s="43"/>
      <c r="C1" s="43"/>
      <c r="D1" s="43"/>
      <c r="E1" s="43"/>
      <c r="F1" s="43"/>
    </row>
    <row r="3" spans="1:6" x14ac:dyDescent="0.25">
      <c r="A3" s="25" t="s">
        <v>49</v>
      </c>
      <c r="B3" s="24" t="s">
        <v>50</v>
      </c>
      <c r="C3" s="24" t="s">
        <v>51</v>
      </c>
      <c r="D3" s="24" t="s">
        <v>52</v>
      </c>
      <c r="E3" s="24" t="s">
        <v>53</v>
      </c>
      <c r="F3" s="23" t="s">
        <v>54</v>
      </c>
    </row>
    <row r="4" spans="1:6" x14ac:dyDescent="0.25">
      <c r="A4" s="12" t="s">
        <v>73</v>
      </c>
      <c r="B4" s="26"/>
      <c r="C4" s="26"/>
      <c r="D4" s="26"/>
      <c r="E4" s="26"/>
      <c r="F4" s="26"/>
    </row>
    <row r="5" spans="1:6" x14ac:dyDescent="0.25">
      <c r="A5" s="14"/>
      <c r="B5" s="20"/>
      <c r="C5" s="20"/>
      <c r="D5" s="20"/>
      <c r="E5" s="20"/>
      <c r="F5" s="20"/>
    </row>
    <row r="6" spans="1:6" x14ac:dyDescent="0.25">
      <c r="A6" s="27" t="s">
        <v>74</v>
      </c>
      <c r="B6" s="20"/>
      <c r="C6" s="20"/>
      <c r="D6" s="20"/>
      <c r="E6" s="20"/>
      <c r="F6" s="20"/>
    </row>
    <row r="7" spans="1:6" x14ac:dyDescent="0.25">
      <c r="A7" s="28" t="s">
        <v>75</v>
      </c>
      <c r="B7" s="20"/>
      <c r="C7" s="20"/>
      <c r="D7" s="20"/>
      <c r="E7" s="20"/>
      <c r="F7" s="20"/>
    </row>
    <row r="8" spans="1:6" x14ac:dyDescent="0.25">
      <c r="A8" s="14" t="s">
        <v>76</v>
      </c>
      <c r="B8" s="22"/>
      <c r="C8" s="22"/>
      <c r="D8" s="22"/>
      <c r="E8" s="22"/>
      <c r="F8" s="22"/>
    </row>
    <row r="9" spans="1:6" x14ac:dyDescent="0.25">
      <c r="A9" s="14" t="s">
        <v>77</v>
      </c>
      <c r="B9" s="22"/>
      <c r="C9" s="22"/>
      <c r="D9" s="22"/>
      <c r="E9" s="22"/>
      <c r="F9" s="22"/>
    </row>
    <row r="10" spans="1:6" x14ac:dyDescent="0.25">
      <c r="A10" s="29" t="s">
        <v>78</v>
      </c>
      <c r="B10" s="30">
        <f>SUM(B8:B9)</f>
        <v>0</v>
      </c>
      <c r="C10" s="30">
        <f t="shared" ref="C10:F10" si="0">SUM(C8:C9)</f>
        <v>0</v>
      </c>
      <c r="D10" s="30">
        <f t="shared" si="0"/>
        <v>0</v>
      </c>
      <c r="E10" s="30">
        <f t="shared" si="0"/>
        <v>0</v>
      </c>
      <c r="F10" s="31">
        <f t="shared" si="0"/>
        <v>0</v>
      </c>
    </row>
    <row r="11" spans="1:6" x14ac:dyDescent="0.25">
      <c r="A11" s="14" t="s">
        <v>79</v>
      </c>
      <c r="B11" s="22"/>
      <c r="C11" s="22"/>
      <c r="D11" s="22"/>
      <c r="E11" s="22"/>
      <c r="F11" s="22"/>
    </row>
    <row r="12" spans="1:6" x14ac:dyDescent="0.25">
      <c r="A12" s="14"/>
      <c r="B12" s="21"/>
      <c r="C12" s="21"/>
      <c r="D12" s="21"/>
      <c r="E12" s="21"/>
      <c r="F12" s="21"/>
    </row>
    <row r="13" spans="1:6" x14ac:dyDescent="0.25">
      <c r="A13" s="28" t="s">
        <v>80</v>
      </c>
      <c r="B13" s="21"/>
      <c r="C13" s="21"/>
      <c r="D13" s="21"/>
      <c r="E13" s="21"/>
      <c r="F13" s="21"/>
    </row>
    <row r="14" spans="1:6" x14ac:dyDescent="0.25">
      <c r="A14" s="14" t="s">
        <v>81</v>
      </c>
      <c r="B14" s="22"/>
      <c r="C14" s="22"/>
      <c r="D14" s="22"/>
      <c r="E14" s="22"/>
      <c r="F14" s="22"/>
    </row>
    <row r="15" spans="1:6" x14ac:dyDescent="0.25">
      <c r="A15" s="14" t="s">
        <v>82</v>
      </c>
      <c r="B15" s="22"/>
      <c r="C15" s="22"/>
      <c r="D15" s="22"/>
      <c r="E15" s="22"/>
      <c r="F15" s="22"/>
    </row>
    <row r="16" spans="1:6" x14ac:dyDescent="0.25">
      <c r="A16" s="14" t="s">
        <v>83</v>
      </c>
      <c r="B16" s="22"/>
      <c r="C16" s="22"/>
      <c r="D16" s="22"/>
      <c r="E16" s="22"/>
      <c r="F16" s="22"/>
    </row>
    <row r="17" spans="1:6" x14ac:dyDescent="0.25">
      <c r="A17" s="29" t="s">
        <v>84</v>
      </c>
      <c r="B17" s="30">
        <f>SUM(B14:B16)</f>
        <v>0</v>
      </c>
      <c r="C17" s="30">
        <f t="shared" ref="C17:F17" si="1">SUM(C14:C16)</f>
        <v>0</v>
      </c>
      <c r="D17" s="30">
        <f t="shared" si="1"/>
        <v>0</v>
      </c>
      <c r="E17" s="30">
        <f t="shared" si="1"/>
        <v>0</v>
      </c>
      <c r="F17" s="31">
        <f t="shared" si="1"/>
        <v>0</v>
      </c>
    </row>
    <row r="18" spans="1:6" x14ac:dyDescent="0.25">
      <c r="A18" s="14"/>
      <c r="B18" s="21"/>
      <c r="C18" s="21"/>
      <c r="D18" s="21"/>
      <c r="E18" s="21"/>
      <c r="F18" s="21"/>
    </row>
    <row r="19" spans="1:6" x14ac:dyDescent="0.25">
      <c r="A19" s="28" t="s">
        <v>85</v>
      </c>
      <c r="B19" s="21"/>
      <c r="C19" s="21"/>
      <c r="D19" s="21"/>
      <c r="E19" s="21"/>
      <c r="F19" s="21"/>
    </row>
    <row r="20" spans="1:6" x14ac:dyDescent="0.25">
      <c r="A20" s="14" t="s">
        <v>86</v>
      </c>
      <c r="B20" s="22"/>
      <c r="C20" s="22"/>
      <c r="D20" s="22"/>
      <c r="E20" s="22"/>
      <c r="F20" s="22"/>
    </row>
    <row r="21" spans="1:6" x14ac:dyDescent="0.25">
      <c r="A21" s="14" t="s">
        <v>87</v>
      </c>
      <c r="B21" s="22"/>
      <c r="C21" s="22"/>
      <c r="D21" s="22"/>
      <c r="E21" s="22"/>
      <c r="F21" s="22"/>
    </row>
    <row r="22" spans="1:6" x14ac:dyDescent="0.25">
      <c r="A22" s="14" t="s">
        <v>88</v>
      </c>
      <c r="B22" s="22"/>
      <c r="C22" s="22"/>
      <c r="D22" s="22"/>
      <c r="E22" s="22"/>
      <c r="F22" s="22"/>
    </row>
    <row r="23" spans="1:6" x14ac:dyDescent="0.25">
      <c r="A23" s="14" t="s">
        <v>89</v>
      </c>
      <c r="B23" s="22"/>
      <c r="C23" s="22"/>
      <c r="D23" s="22"/>
      <c r="E23" s="22"/>
      <c r="F23" s="22"/>
    </row>
    <row r="24" spans="1:6" x14ac:dyDescent="0.25">
      <c r="A24" s="29" t="s">
        <v>90</v>
      </c>
      <c r="B24" s="30">
        <f>SUM(B20:B23)</f>
        <v>0</v>
      </c>
      <c r="C24" s="30">
        <f t="shared" ref="C24:F24" si="2">SUM(C20:C23)</f>
        <v>0</v>
      </c>
      <c r="D24" s="30">
        <f t="shared" si="2"/>
        <v>0</v>
      </c>
      <c r="E24" s="30">
        <f t="shared" si="2"/>
        <v>0</v>
      </c>
      <c r="F24" s="31">
        <f t="shared" si="2"/>
        <v>0</v>
      </c>
    </row>
    <row r="25" spans="1:6" x14ac:dyDescent="0.25">
      <c r="A25" s="14"/>
      <c r="B25" s="21"/>
      <c r="C25" s="21"/>
      <c r="D25" s="21"/>
      <c r="E25" s="21"/>
      <c r="F25" s="21"/>
    </row>
    <row r="26" spans="1:6" x14ac:dyDescent="0.25">
      <c r="A26" s="29" t="s">
        <v>91</v>
      </c>
      <c r="B26" s="30">
        <f>B24+B17+B10+B11</f>
        <v>0</v>
      </c>
      <c r="C26" s="30">
        <f t="shared" ref="C26:F26" si="3">C24+C17+C10+C11</f>
        <v>0</v>
      </c>
      <c r="D26" s="30">
        <f t="shared" si="3"/>
        <v>0</v>
      </c>
      <c r="E26" s="30">
        <f t="shared" si="3"/>
        <v>0</v>
      </c>
      <c r="F26" s="31">
        <f t="shared" si="3"/>
        <v>0</v>
      </c>
    </row>
    <row r="27" spans="1:6" x14ac:dyDescent="0.25">
      <c r="A27" s="14"/>
      <c r="B27" s="21"/>
      <c r="C27" s="21"/>
      <c r="D27" s="21"/>
      <c r="E27" s="21"/>
      <c r="F27" s="21"/>
    </row>
    <row r="28" spans="1:6" x14ac:dyDescent="0.25">
      <c r="A28" s="14"/>
      <c r="B28" s="21"/>
      <c r="C28" s="21"/>
      <c r="D28" s="21"/>
      <c r="E28" s="21"/>
      <c r="F28" s="21"/>
    </row>
    <row r="29" spans="1:6" x14ac:dyDescent="0.25">
      <c r="A29" s="27" t="s">
        <v>92</v>
      </c>
      <c r="B29" s="21"/>
      <c r="C29" s="21"/>
      <c r="D29" s="21"/>
      <c r="E29" s="21"/>
      <c r="F29" s="21"/>
    </row>
    <row r="30" spans="1:6" x14ac:dyDescent="0.25">
      <c r="A30" s="28" t="s">
        <v>93</v>
      </c>
      <c r="B30" s="21"/>
      <c r="C30" s="21"/>
      <c r="D30" s="21"/>
      <c r="E30" s="21"/>
      <c r="F30" s="21"/>
    </row>
    <row r="31" spans="1:6" x14ac:dyDescent="0.25">
      <c r="A31" s="14" t="s">
        <v>94</v>
      </c>
      <c r="B31" s="22"/>
      <c r="C31" s="22"/>
      <c r="D31" s="22"/>
      <c r="E31" s="22"/>
      <c r="F31" s="22"/>
    </row>
    <row r="32" spans="1:6" x14ac:dyDescent="0.25">
      <c r="A32" s="14" t="s">
        <v>95</v>
      </c>
      <c r="B32" s="22"/>
      <c r="C32" s="22"/>
      <c r="D32" s="22"/>
      <c r="E32" s="22"/>
      <c r="F32" s="22"/>
    </row>
    <row r="33" spans="1:6" x14ac:dyDescent="0.25">
      <c r="A33" s="14" t="s">
        <v>96</v>
      </c>
      <c r="B33" s="22"/>
      <c r="C33" s="22"/>
      <c r="D33" s="22"/>
      <c r="E33" s="22"/>
      <c r="F33" s="22"/>
    </row>
    <row r="34" spans="1:6" x14ac:dyDescent="0.25">
      <c r="A34" s="14" t="s">
        <v>97</v>
      </c>
      <c r="B34" s="22"/>
      <c r="C34" s="22"/>
      <c r="D34" s="22"/>
      <c r="E34" s="22"/>
      <c r="F34" s="22"/>
    </row>
    <row r="35" spans="1:6" x14ac:dyDescent="0.25">
      <c r="A35" s="14" t="s">
        <v>98</v>
      </c>
      <c r="B35" s="22"/>
      <c r="C35" s="22"/>
      <c r="D35" s="22"/>
      <c r="E35" s="22"/>
      <c r="F35" s="22"/>
    </row>
    <row r="36" spans="1:6" x14ac:dyDescent="0.25">
      <c r="A36" s="14" t="s">
        <v>99</v>
      </c>
      <c r="B36" s="22"/>
      <c r="C36" s="22"/>
      <c r="D36" s="22"/>
      <c r="E36" s="22"/>
      <c r="F36" s="22"/>
    </row>
    <row r="37" spans="1:6" x14ac:dyDescent="0.25">
      <c r="A37" s="14" t="s">
        <v>100</v>
      </c>
      <c r="B37" s="22"/>
      <c r="C37" s="22"/>
      <c r="D37" s="22"/>
      <c r="E37" s="22"/>
      <c r="F37" s="22"/>
    </row>
    <row r="38" spans="1:6" x14ac:dyDescent="0.25">
      <c r="A38" s="29" t="s">
        <v>101</v>
      </c>
      <c r="B38" s="30">
        <f>SUM(B31:B37)</f>
        <v>0</v>
      </c>
      <c r="C38" s="30">
        <f t="shared" ref="C38:F38" si="4">SUM(C31:C37)</f>
        <v>0</v>
      </c>
      <c r="D38" s="30">
        <f t="shared" si="4"/>
        <v>0</v>
      </c>
      <c r="E38" s="30">
        <f t="shared" si="4"/>
        <v>0</v>
      </c>
      <c r="F38" s="31">
        <f t="shared" si="4"/>
        <v>0</v>
      </c>
    </row>
    <row r="39" spans="1:6" x14ac:dyDescent="0.25">
      <c r="A39" s="14"/>
      <c r="B39" s="21"/>
      <c r="C39" s="21"/>
      <c r="D39" s="21"/>
      <c r="E39" s="21"/>
      <c r="F39" s="21"/>
    </row>
    <row r="40" spans="1:6" x14ac:dyDescent="0.25">
      <c r="A40" s="28" t="s">
        <v>102</v>
      </c>
      <c r="B40" s="21"/>
      <c r="C40" s="21"/>
      <c r="D40" s="21"/>
      <c r="E40" s="21"/>
      <c r="F40" s="21"/>
    </row>
    <row r="41" spans="1:6" x14ac:dyDescent="0.25">
      <c r="A41" s="14" t="s">
        <v>103</v>
      </c>
      <c r="B41" s="22"/>
      <c r="C41" s="22"/>
      <c r="D41" s="22"/>
      <c r="E41" s="22"/>
      <c r="F41" s="22"/>
    </row>
    <row r="42" spans="1:6" x14ac:dyDescent="0.25">
      <c r="A42" s="14" t="s">
        <v>104</v>
      </c>
      <c r="B42" s="22"/>
      <c r="C42" s="22"/>
      <c r="D42" s="22"/>
      <c r="E42" s="22"/>
      <c r="F42" s="22"/>
    </row>
    <row r="43" spans="1:6" x14ac:dyDescent="0.25">
      <c r="A43" s="14" t="s">
        <v>105</v>
      </c>
      <c r="B43" s="22"/>
      <c r="C43" s="22"/>
      <c r="D43" s="22"/>
      <c r="E43" s="22"/>
      <c r="F43" s="22"/>
    </row>
    <row r="44" spans="1:6" x14ac:dyDescent="0.25">
      <c r="A44" s="14" t="s">
        <v>106</v>
      </c>
      <c r="B44" s="22"/>
      <c r="C44" s="22"/>
      <c r="D44" s="22"/>
      <c r="E44" s="22"/>
      <c r="F44" s="22"/>
    </row>
    <row r="45" spans="1:6" x14ac:dyDescent="0.25">
      <c r="A45" s="14" t="s">
        <v>107</v>
      </c>
      <c r="B45" s="22"/>
      <c r="C45" s="22"/>
      <c r="D45" s="22"/>
      <c r="E45" s="22"/>
      <c r="F45" s="22"/>
    </row>
    <row r="46" spans="1:6" x14ac:dyDescent="0.25">
      <c r="A46" s="14" t="s">
        <v>108</v>
      </c>
      <c r="B46" s="22"/>
      <c r="C46" s="22"/>
      <c r="D46" s="22"/>
      <c r="E46" s="22"/>
      <c r="F46" s="22"/>
    </row>
    <row r="47" spans="1:6" x14ac:dyDescent="0.25">
      <c r="A47" s="14" t="s">
        <v>109</v>
      </c>
      <c r="B47" s="22"/>
      <c r="C47" s="22"/>
      <c r="D47" s="22"/>
      <c r="E47" s="22"/>
      <c r="F47" s="22"/>
    </row>
    <row r="48" spans="1:6" x14ac:dyDescent="0.25">
      <c r="A48" s="29" t="s">
        <v>110</v>
      </c>
      <c r="B48" s="30">
        <f>SUM(B41:B47)</f>
        <v>0</v>
      </c>
      <c r="C48" s="30">
        <f t="shared" ref="C48:F48" si="5">SUM(C41:C47)</f>
        <v>0</v>
      </c>
      <c r="D48" s="30">
        <f t="shared" si="5"/>
        <v>0</v>
      </c>
      <c r="E48" s="30">
        <f t="shared" si="5"/>
        <v>0</v>
      </c>
      <c r="F48" s="31">
        <f t="shared" si="5"/>
        <v>0</v>
      </c>
    </row>
    <row r="49" spans="1:6" x14ac:dyDescent="0.25">
      <c r="A49" s="14"/>
      <c r="B49" s="21"/>
      <c r="C49" s="21"/>
      <c r="D49" s="21"/>
      <c r="E49" s="21"/>
      <c r="F49" s="21"/>
    </row>
    <row r="50" spans="1:6" x14ac:dyDescent="0.25">
      <c r="A50" s="29" t="s">
        <v>111</v>
      </c>
      <c r="B50" s="30">
        <f>B48+B38</f>
        <v>0</v>
      </c>
      <c r="C50" s="30">
        <f t="shared" ref="C50:F50" si="6">C48+C38</f>
        <v>0</v>
      </c>
      <c r="D50" s="30">
        <f t="shared" si="6"/>
        <v>0</v>
      </c>
      <c r="E50" s="30">
        <f t="shared" si="6"/>
        <v>0</v>
      </c>
      <c r="F50" s="31">
        <f t="shared" si="6"/>
        <v>0</v>
      </c>
    </row>
    <row r="51" spans="1:6" x14ac:dyDescent="0.25">
      <c r="B51" s="21"/>
      <c r="C51" s="21"/>
      <c r="D51" s="21"/>
      <c r="E51" s="21"/>
      <c r="F51" s="21"/>
    </row>
    <row r="52" spans="1:6" x14ac:dyDescent="0.25">
      <c r="A52" s="29" t="s">
        <v>112</v>
      </c>
      <c r="B52" s="30">
        <f>B26-B50</f>
        <v>0</v>
      </c>
      <c r="C52" s="30">
        <f t="shared" ref="C52:F52" si="7">C26-C50</f>
        <v>0</v>
      </c>
      <c r="D52" s="30">
        <f t="shared" si="7"/>
        <v>0</v>
      </c>
      <c r="E52" s="30">
        <f t="shared" si="7"/>
        <v>0</v>
      </c>
      <c r="F52" s="31">
        <f t="shared" si="7"/>
        <v>0</v>
      </c>
    </row>
    <row r="53" spans="1:6" x14ac:dyDescent="0.25">
      <c r="B53" s="11"/>
      <c r="C53" s="11"/>
      <c r="D53" s="11"/>
      <c r="E53" s="11"/>
      <c r="F53" s="11"/>
    </row>
    <row r="54" spans="1:6" x14ac:dyDescent="0.25">
      <c r="B54" s="11"/>
      <c r="C54" s="11"/>
      <c r="D54" s="11"/>
      <c r="E54" s="11"/>
      <c r="F54" s="11"/>
    </row>
    <row r="55" spans="1:6" x14ac:dyDescent="0.25">
      <c r="B55" s="11"/>
      <c r="C55" s="11"/>
      <c r="D55" s="11"/>
      <c r="E55" s="11"/>
      <c r="F55" s="11"/>
    </row>
    <row r="56" spans="1:6" x14ac:dyDescent="0.25">
      <c r="B56" s="11"/>
      <c r="C56" s="11"/>
      <c r="D56" s="11"/>
      <c r="E56" s="11"/>
      <c r="F56" s="11"/>
    </row>
    <row r="57" spans="1:6" x14ac:dyDescent="0.25">
      <c r="B57" s="11"/>
      <c r="C57" s="11"/>
      <c r="D57" s="11"/>
      <c r="E57" s="11"/>
      <c r="F57" s="11"/>
    </row>
    <row r="58" spans="1:6" x14ac:dyDescent="0.25">
      <c r="B58" s="11"/>
      <c r="C58" s="11"/>
      <c r="D58" s="11"/>
      <c r="E58" s="11"/>
      <c r="F58" s="11"/>
    </row>
    <row r="59" spans="1:6" x14ac:dyDescent="0.25">
      <c r="B59" s="11"/>
      <c r="C59" s="11"/>
      <c r="D59" s="11"/>
      <c r="E59" s="11"/>
      <c r="F59" s="11"/>
    </row>
    <row r="60" spans="1:6" x14ac:dyDescent="0.25">
      <c r="B60" s="11"/>
      <c r="C60" s="11"/>
      <c r="D60" s="11"/>
      <c r="E60" s="11"/>
      <c r="F60" s="11"/>
    </row>
    <row r="61" spans="1:6" x14ac:dyDescent="0.25">
      <c r="B61" s="11"/>
      <c r="C61" s="11"/>
      <c r="D61" s="11"/>
      <c r="E61" s="11"/>
      <c r="F61" s="11"/>
    </row>
    <row r="62" spans="1:6" x14ac:dyDescent="0.25">
      <c r="B62" s="11"/>
      <c r="C62" s="11"/>
      <c r="D62" s="11"/>
      <c r="E62" s="11"/>
      <c r="F62" s="11"/>
    </row>
    <row r="63" spans="1:6" x14ac:dyDescent="0.25">
      <c r="B63" s="11"/>
      <c r="C63" s="11"/>
      <c r="D63" s="11"/>
      <c r="E63" s="11"/>
      <c r="F63" s="11"/>
    </row>
    <row r="64" spans="1:6" x14ac:dyDescent="0.25">
      <c r="B64" s="11"/>
      <c r="C64" s="11"/>
      <c r="D64" s="11"/>
      <c r="E64" s="11"/>
      <c r="F64" s="11"/>
    </row>
    <row r="65" spans="2:6" x14ac:dyDescent="0.25">
      <c r="B65" s="11"/>
      <c r="C65" s="11"/>
      <c r="D65" s="11"/>
      <c r="E65" s="11"/>
      <c r="F65" s="11"/>
    </row>
    <row r="66" spans="2:6" x14ac:dyDescent="0.25">
      <c r="B66" s="11"/>
      <c r="C66" s="11"/>
      <c r="D66" s="11"/>
      <c r="E66" s="11"/>
      <c r="F66" s="11"/>
    </row>
    <row r="67" spans="2:6" x14ac:dyDescent="0.25">
      <c r="B67" s="11"/>
      <c r="C67" s="11"/>
      <c r="D67" s="11"/>
      <c r="E67" s="11"/>
      <c r="F67" s="11"/>
    </row>
    <row r="68" spans="2:6" x14ac:dyDescent="0.25">
      <c r="B68" s="11"/>
      <c r="C68" s="11"/>
      <c r="D68" s="11"/>
      <c r="E68" s="11"/>
      <c r="F68" s="11"/>
    </row>
    <row r="69" spans="2:6" x14ac:dyDescent="0.25">
      <c r="B69" s="11"/>
      <c r="C69" s="11"/>
      <c r="D69" s="11"/>
      <c r="E69" s="11"/>
      <c r="F69" s="11"/>
    </row>
    <row r="70" spans="2:6" x14ac:dyDescent="0.25">
      <c r="B70" s="11"/>
      <c r="C70" s="11"/>
      <c r="D70" s="11"/>
      <c r="E70" s="11"/>
      <c r="F70" s="11"/>
    </row>
    <row r="71" spans="2:6" x14ac:dyDescent="0.25">
      <c r="B71" s="11"/>
      <c r="C71" s="11"/>
      <c r="D71" s="11"/>
      <c r="E71" s="11"/>
      <c r="F71" s="11"/>
    </row>
    <row r="72" spans="2:6" x14ac:dyDescent="0.25">
      <c r="B72" s="11"/>
      <c r="C72" s="11"/>
      <c r="D72" s="11"/>
      <c r="E72" s="11"/>
      <c r="F72" s="11"/>
    </row>
    <row r="73" spans="2:6" x14ac:dyDescent="0.25">
      <c r="B73" s="11"/>
      <c r="C73" s="11"/>
      <c r="D73" s="11"/>
      <c r="E73" s="11"/>
      <c r="F73" s="11"/>
    </row>
    <row r="74" spans="2:6" x14ac:dyDescent="0.25">
      <c r="B74" s="11"/>
      <c r="C74" s="11"/>
      <c r="D74" s="11"/>
      <c r="E74" s="11"/>
      <c r="F74" s="11"/>
    </row>
    <row r="75" spans="2:6" x14ac:dyDescent="0.25">
      <c r="B75" s="11"/>
      <c r="C75" s="11"/>
      <c r="D75" s="11"/>
      <c r="E75" s="11"/>
      <c r="F75" s="11"/>
    </row>
    <row r="76" spans="2:6" x14ac:dyDescent="0.25">
      <c r="B76" s="11"/>
      <c r="C76" s="11"/>
      <c r="D76" s="11"/>
      <c r="E76" s="11"/>
      <c r="F76" s="11"/>
    </row>
    <row r="77" spans="2:6" x14ac:dyDescent="0.25">
      <c r="B77" s="11"/>
      <c r="C77" s="11"/>
      <c r="D77" s="11"/>
      <c r="E77" s="11"/>
      <c r="F77" s="11"/>
    </row>
    <row r="78" spans="2:6" x14ac:dyDescent="0.25">
      <c r="B78" s="11"/>
      <c r="C78" s="11"/>
      <c r="D78" s="11"/>
      <c r="E78" s="11"/>
      <c r="F78" s="11"/>
    </row>
    <row r="79" spans="2:6" x14ac:dyDescent="0.25">
      <c r="B79" s="11"/>
      <c r="C79" s="11"/>
      <c r="D79" s="11"/>
      <c r="E79" s="11"/>
      <c r="F79" s="11"/>
    </row>
    <row r="80" spans="2:6" x14ac:dyDescent="0.25">
      <c r="B80" s="11"/>
      <c r="C80" s="11"/>
      <c r="D80" s="11"/>
      <c r="E80" s="11"/>
      <c r="F80" s="11"/>
    </row>
    <row r="81" spans="2:6" x14ac:dyDescent="0.25">
      <c r="B81" s="11"/>
      <c r="C81" s="11"/>
      <c r="D81" s="11"/>
      <c r="E81" s="11"/>
      <c r="F81" s="11"/>
    </row>
    <row r="82" spans="2:6" x14ac:dyDescent="0.25">
      <c r="B82" s="11"/>
      <c r="C82" s="11"/>
      <c r="D82" s="11"/>
      <c r="E82" s="11"/>
      <c r="F82" s="11"/>
    </row>
    <row r="83" spans="2:6" x14ac:dyDescent="0.25">
      <c r="B83" s="11"/>
      <c r="C83" s="11"/>
      <c r="D83" s="11"/>
      <c r="E83" s="11"/>
      <c r="F83" s="11"/>
    </row>
    <row r="84" spans="2:6" x14ac:dyDescent="0.25">
      <c r="B84" s="11"/>
      <c r="C84" s="11"/>
      <c r="D84" s="11"/>
      <c r="E84" s="11"/>
      <c r="F84" s="11"/>
    </row>
    <row r="85" spans="2:6" x14ac:dyDescent="0.25">
      <c r="B85" s="11"/>
      <c r="C85" s="11"/>
      <c r="D85" s="11"/>
      <c r="E85" s="11"/>
      <c r="F85" s="11"/>
    </row>
    <row r="86" spans="2:6" x14ac:dyDescent="0.25">
      <c r="B86" s="11"/>
      <c r="C86" s="11"/>
      <c r="D86" s="11"/>
      <c r="E86" s="11"/>
      <c r="F86" s="11"/>
    </row>
    <row r="87" spans="2:6" x14ac:dyDescent="0.25">
      <c r="B87" s="11"/>
      <c r="C87" s="11"/>
      <c r="D87" s="11"/>
      <c r="E87" s="11"/>
      <c r="F87" s="11"/>
    </row>
    <row r="88" spans="2:6" x14ac:dyDescent="0.25">
      <c r="B88" s="11"/>
      <c r="C88" s="11"/>
      <c r="D88" s="11"/>
      <c r="E88" s="11"/>
      <c r="F88" s="11"/>
    </row>
    <row r="89" spans="2:6" x14ac:dyDescent="0.25">
      <c r="B89" s="11"/>
      <c r="C89" s="11"/>
      <c r="D89" s="11"/>
      <c r="E89" s="11"/>
      <c r="F89" s="11"/>
    </row>
    <row r="90" spans="2:6" x14ac:dyDescent="0.25">
      <c r="B90" s="11"/>
      <c r="C90" s="11"/>
      <c r="D90" s="11"/>
      <c r="E90" s="11"/>
      <c r="F90" s="11"/>
    </row>
    <row r="91" spans="2:6" x14ac:dyDescent="0.25">
      <c r="B91" s="11"/>
      <c r="C91" s="11"/>
      <c r="D91" s="11"/>
      <c r="E91" s="11"/>
      <c r="F91" s="11"/>
    </row>
    <row r="92" spans="2:6" x14ac:dyDescent="0.25">
      <c r="B92" s="11"/>
      <c r="C92" s="11"/>
      <c r="D92" s="11"/>
      <c r="E92" s="11"/>
      <c r="F92" s="11"/>
    </row>
    <row r="93" spans="2:6" x14ac:dyDescent="0.25">
      <c r="B93" s="11"/>
      <c r="C93" s="11"/>
      <c r="D93" s="11"/>
      <c r="E93" s="11"/>
      <c r="F93" s="11"/>
    </row>
    <row r="94" spans="2:6" x14ac:dyDescent="0.25">
      <c r="B94" s="11"/>
      <c r="C94" s="11"/>
      <c r="D94" s="11"/>
      <c r="E94" s="11"/>
      <c r="F94" s="11"/>
    </row>
    <row r="95" spans="2:6" x14ac:dyDescent="0.25">
      <c r="B95" s="11"/>
      <c r="C95" s="11"/>
      <c r="D95" s="11"/>
      <c r="E95" s="11"/>
      <c r="F95" s="11"/>
    </row>
    <row r="96" spans="2:6" x14ac:dyDescent="0.25">
      <c r="B96" s="11"/>
      <c r="C96" s="11"/>
      <c r="D96" s="11"/>
      <c r="E96" s="11"/>
      <c r="F96" s="11"/>
    </row>
    <row r="97" spans="2:6" x14ac:dyDescent="0.25">
      <c r="B97" s="11"/>
      <c r="C97" s="11"/>
      <c r="D97" s="11"/>
      <c r="E97" s="11"/>
      <c r="F97" s="11"/>
    </row>
    <row r="98" spans="2:6" x14ac:dyDescent="0.25">
      <c r="B98" s="11"/>
      <c r="C98" s="11"/>
      <c r="D98" s="11"/>
      <c r="E98" s="11"/>
      <c r="F98" s="11"/>
    </row>
    <row r="99" spans="2:6" x14ac:dyDescent="0.25">
      <c r="B99" s="11"/>
      <c r="C99" s="11"/>
      <c r="D99" s="11"/>
      <c r="E99" s="11"/>
      <c r="F99" s="11"/>
    </row>
    <row r="100" spans="2:6" x14ac:dyDescent="0.25">
      <c r="B100" s="11"/>
      <c r="C100" s="11"/>
      <c r="D100" s="11"/>
      <c r="E100" s="11"/>
      <c r="F100" s="11"/>
    </row>
    <row r="101" spans="2:6" x14ac:dyDescent="0.25">
      <c r="B101" s="11"/>
      <c r="C101" s="11"/>
      <c r="D101" s="11"/>
      <c r="E101" s="11"/>
      <c r="F101" s="11"/>
    </row>
    <row r="102" spans="2:6" x14ac:dyDescent="0.25">
      <c r="B102" s="11"/>
      <c r="C102" s="11"/>
      <c r="D102" s="11"/>
      <c r="E102" s="11"/>
      <c r="F102" s="11"/>
    </row>
    <row r="103" spans="2:6" x14ac:dyDescent="0.25">
      <c r="B103" s="11"/>
      <c r="C103" s="11"/>
      <c r="D103" s="11"/>
      <c r="E103" s="11"/>
      <c r="F103" s="11"/>
    </row>
    <row r="104" spans="2:6" x14ac:dyDescent="0.25">
      <c r="B104" s="11"/>
      <c r="C104" s="11"/>
      <c r="D104" s="11"/>
      <c r="E104" s="11"/>
      <c r="F104" s="11"/>
    </row>
    <row r="105" spans="2:6" x14ac:dyDescent="0.25">
      <c r="B105" s="11"/>
      <c r="C105" s="11"/>
      <c r="D105" s="11"/>
      <c r="E105" s="11"/>
      <c r="F105" s="11"/>
    </row>
    <row r="106" spans="2:6" x14ac:dyDescent="0.25">
      <c r="B106" s="11"/>
      <c r="C106" s="11"/>
      <c r="D106" s="11"/>
      <c r="E106" s="11"/>
      <c r="F106" s="11"/>
    </row>
    <row r="107" spans="2:6" x14ac:dyDescent="0.25">
      <c r="B107" s="11"/>
      <c r="C107" s="11"/>
      <c r="D107" s="11"/>
      <c r="E107" s="11"/>
      <c r="F107" s="11"/>
    </row>
    <row r="108" spans="2:6" x14ac:dyDescent="0.25">
      <c r="B108" s="11"/>
      <c r="C108" s="11"/>
      <c r="D108" s="11"/>
      <c r="E108" s="11"/>
      <c r="F108" s="11"/>
    </row>
  </sheetData>
  <mergeCells count="1">
    <mergeCell ref="A1:F1"/>
  </mergeCells>
  <conditionalFormatting sqref="A52:F5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63"/>
  <sheetViews>
    <sheetView showGridLines="0" workbookViewId="0">
      <selection sqref="A1:L1"/>
    </sheetView>
  </sheetViews>
  <sheetFormatPr defaultRowHeight="15" x14ac:dyDescent="0.25"/>
  <cols>
    <col min="1" max="1" width="55.28515625" bestFit="1" customWidth="1"/>
    <col min="2" max="12" width="13" style="11" customWidth="1"/>
  </cols>
  <sheetData>
    <row r="1" spans="1:12" ht="21" x14ac:dyDescent="0.35">
      <c r="A1" s="43" t="s">
        <v>113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3" spans="1:12" x14ac:dyDescent="0.25">
      <c r="A3" s="41" t="s">
        <v>49</v>
      </c>
      <c r="B3" s="42" t="s">
        <v>114</v>
      </c>
      <c r="C3" s="42" t="s">
        <v>115</v>
      </c>
      <c r="D3" s="42" t="s">
        <v>116</v>
      </c>
      <c r="E3" s="42" t="s">
        <v>117</v>
      </c>
      <c r="F3" s="42" t="s">
        <v>118</v>
      </c>
      <c r="G3" s="42" t="s">
        <v>119</v>
      </c>
      <c r="H3" s="42" t="s">
        <v>120</v>
      </c>
      <c r="I3" s="42" t="s">
        <v>121</v>
      </c>
      <c r="J3" s="42" t="s">
        <v>122</v>
      </c>
      <c r="K3" s="42" t="s">
        <v>123</v>
      </c>
      <c r="L3" s="42" t="s">
        <v>124</v>
      </c>
    </row>
    <row r="4" spans="1:12" x14ac:dyDescent="0.25">
      <c r="A4" s="34" t="s">
        <v>55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x14ac:dyDescent="0.2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x14ac:dyDescent="0.25">
      <c r="A6" s="27" t="s">
        <v>135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</row>
    <row r="7" spans="1:12" x14ac:dyDescent="0.25">
      <c r="A7" s="17" t="s">
        <v>57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</row>
    <row r="8" spans="1:12" x14ac:dyDescent="0.25">
      <c r="A8" s="17" t="s">
        <v>58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spans="1:12" x14ac:dyDescent="0.25">
      <c r="A9" s="29" t="s">
        <v>59</v>
      </c>
      <c r="B9" s="30">
        <f>SUM(B7:B8)</f>
        <v>0</v>
      </c>
      <c r="C9" s="30">
        <f t="shared" ref="C9" si="0">SUM(C7:C8)</f>
        <v>0</v>
      </c>
      <c r="D9" s="30">
        <f t="shared" ref="D9:L9" si="1">SUM(D7:D8)</f>
        <v>0</v>
      </c>
      <c r="E9" s="30">
        <f t="shared" si="1"/>
        <v>0</v>
      </c>
      <c r="F9" s="30">
        <f t="shared" si="1"/>
        <v>0</v>
      </c>
      <c r="G9" s="30">
        <f t="shared" si="1"/>
        <v>0</v>
      </c>
      <c r="H9" s="30">
        <f t="shared" si="1"/>
        <v>0</v>
      </c>
      <c r="I9" s="30">
        <f t="shared" si="1"/>
        <v>0</v>
      </c>
      <c r="J9" s="30">
        <f t="shared" si="1"/>
        <v>0</v>
      </c>
      <c r="K9" s="30">
        <f t="shared" si="1"/>
        <v>0</v>
      </c>
      <c r="L9" s="30">
        <f t="shared" si="1"/>
        <v>0</v>
      </c>
    </row>
    <row r="10" spans="1:12" x14ac:dyDescent="0.25">
      <c r="A10" s="17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spans="1:12" x14ac:dyDescent="0.25">
      <c r="A11" s="17" t="s">
        <v>61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x14ac:dyDescent="0.25">
      <c r="A12" s="17" t="s">
        <v>62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spans="1:12" x14ac:dyDescent="0.25">
      <c r="A13" s="17" t="s">
        <v>63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  <row r="14" spans="1:12" x14ac:dyDescent="0.25">
      <c r="A14" s="29" t="s">
        <v>64</v>
      </c>
      <c r="B14" s="30">
        <f>SUM(B11:B13)</f>
        <v>0</v>
      </c>
      <c r="C14" s="30">
        <f t="shared" ref="C14" si="2">SUM(C11:C13)</f>
        <v>0</v>
      </c>
      <c r="D14" s="30">
        <f t="shared" ref="D14:L14" si="3">SUM(D11:D13)</f>
        <v>0</v>
      </c>
      <c r="E14" s="30">
        <f t="shared" si="3"/>
        <v>0</v>
      </c>
      <c r="F14" s="30">
        <f t="shared" si="3"/>
        <v>0</v>
      </c>
      <c r="G14" s="30">
        <f t="shared" si="3"/>
        <v>0</v>
      </c>
      <c r="H14" s="30">
        <f t="shared" si="3"/>
        <v>0</v>
      </c>
      <c r="I14" s="30">
        <f t="shared" si="3"/>
        <v>0</v>
      </c>
      <c r="J14" s="30">
        <f t="shared" si="3"/>
        <v>0</v>
      </c>
      <c r="K14" s="30">
        <f t="shared" si="3"/>
        <v>0</v>
      </c>
      <c r="L14" s="30">
        <f t="shared" si="3"/>
        <v>0</v>
      </c>
    </row>
    <row r="15" spans="1:12" x14ac:dyDescent="0.25">
      <c r="A15" s="17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1:12" x14ac:dyDescent="0.25">
      <c r="A16" s="29" t="s">
        <v>65</v>
      </c>
      <c r="B16" s="30">
        <f t="shared" ref="B16:L16" si="4">B9-B14</f>
        <v>0</v>
      </c>
      <c r="C16" s="30">
        <f t="shared" si="4"/>
        <v>0</v>
      </c>
      <c r="D16" s="30">
        <f t="shared" si="4"/>
        <v>0</v>
      </c>
      <c r="E16" s="30">
        <f t="shared" si="4"/>
        <v>0</v>
      </c>
      <c r="F16" s="30">
        <f t="shared" si="4"/>
        <v>0</v>
      </c>
      <c r="G16" s="30">
        <f t="shared" si="4"/>
        <v>0</v>
      </c>
      <c r="H16" s="30">
        <f t="shared" si="4"/>
        <v>0</v>
      </c>
      <c r="I16" s="30">
        <f t="shared" si="4"/>
        <v>0</v>
      </c>
      <c r="J16" s="30">
        <f t="shared" si="4"/>
        <v>0</v>
      </c>
      <c r="K16" s="30">
        <f t="shared" si="4"/>
        <v>0</v>
      </c>
      <c r="L16" s="30">
        <f t="shared" si="4"/>
        <v>0</v>
      </c>
    </row>
    <row r="17" spans="1:12" x14ac:dyDescent="0.25">
      <c r="A17" s="17" t="s">
        <v>66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1:12" x14ac:dyDescent="0.25">
      <c r="A18" s="29" t="s">
        <v>67</v>
      </c>
      <c r="B18" s="30">
        <f>B16-B17</f>
        <v>0</v>
      </c>
      <c r="C18" s="30">
        <f t="shared" ref="C18" si="5">C16-C17</f>
        <v>0</v>
      </c>
      <c r="D18" s="30">
        <f t="shared" ref="D18:L18" si="6">D16-D17</f>
        <v>0</v>
      </c>
      <c r="E18" s="30">
        <f t="shared" si="6"/>
        <v>0</v>
      </c>
      <c r="F18" s="30">
        <f t="shared" si="6"/>
        <v>0</v>
      </c>
      <c r="G18" s="30">
        <f t="shared" si="6"/>
        <v>0</v>
      </c>
      <c r="H18" s="30">
        <f t="shared" si="6"/>
        <v>0</v>
      </c>
      <c r="I18" s="30">
        <f t="shared" si="6"/>
        <v>0</v>
      </c>
      <c r="J18" s="30">
        <f t="shared" si="6"/>
        <v>0</v>
      </c>
      <c r="K18" s="30">
        <f t="shared" si="6"/>
        <v>0</v>
      </c>
      <c r="L18" s="30">
        <f t="shared" si="6"/>
        <v>0</v>
      </c>
    </row>
    <row r="19" spans="1:12" x14ac:dyDescent="0.25">
      <c r="A19" s="17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</row>
    <row r="20" spans="1:12" x14ac:dyDescent="0.25">
      <c r="A20" s="27" t="s">
        <v>136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</row>
    <row r="21" spans="1:12" x14ac:dyDescent="0.25">
      <c r="A21" t="s">
        <v>137</v>
      </c>
      <c r="B21" s="37">
        <v>0.25168000000000001</v>
      </c>
      <c r="C21" s="37">
        <v>0.25168000000000001</v>
      </c>
      <c r="D21" s="37">
        <v>0.25168000000000001</v>
      </c>
      <c r="E21" s="37">
        <v>0.25168000000000001</v>
      </c>
      <c r="F21" s="37">
        <v>0.25168000000000001</v>
      </c>
      <c r="G21" s="37">
        <v>0.25168000000000001</v>
      </c>
      <c r="H21" s="37">
        <v>0.25168000000000001</v>
      </c>
      <c r="I21" s="37">
        <v>0.25168000000000001</v>
      </c>
      <c r="J21" s="37">
        <v>0.25168000000000001</v>
      </c>
      <c r="K21" s="37">
        <v>0.25168000000000001</v>
      </c>
      <c r="L21" s="37">
        <v>0.25168000000000001</v>
      </c>
    </row>
    <row r="22" spans="1:12" x14ac:dyDescent="0.25">
      <c r="A22" t="s">
        <v>138</v>
      </c>
      <c r="B22" s="35">
        <f>B18*B21</f>
        <v>0</v>
      </c>
      <c r="C22" s="35">
        <f t="shared" ref="C22:L22" si="7">C18*C21</f>
        <v>0</v>
      </c>
      <c r="D22" s="35">
        <f t="shared" si="7"/>
        <v>0</v>
      </c>
      <c r="E22" s="35">
        <f t="shared" si="7"/>
        <v>0</v>
      </c>
      <c r="F22" s="35">
        <f t="shared" si="7"/>
        <v>0</v>
      </c>
      <c r="G22" s="35">
        <f t="shared" si="7"/>
        <v>0</v>
      </c>
      <c r="H22" s="35">
        <f t="shared" si="7"/>
        <v>0</v>
      </c>
      <c r="I22" s="35">
        <f t="shared" si="7"/>
        <v>0</v>
      </c>
      <c r="J22" s="35">
        <f t="shared" si="7"/>
        <v>0</v>
      </c>
      <c r="K22" s="35">
        <f t="shared" si="7"/>
        <v>0</v>
      </c>
      <c r="L22" s="35">
        <f t="shared" si="7"/>
        <v>0</v>
      </c>
    </row>
    <row r="23" spans="1:12" s="38" customFormat="1" x14ac:dyDescent="0.25">
      <c r="A23" s="38" t="s">
        <v>139</v>
      </c>
      <c r="B23" s="35">
        <f>B18-B22</f>
        <v>0</v>
      </c>
      <c r="C23" s="35">
        <f t="shared" ref="C23:L23" si="8">C18-C22</f>
        <v>0</v>
      </c>
      <c r="D23" s="35">
        <f t="shared" si="8"/>
        <v>0</v>
      </c>
      <c r="E23" s="35">
        <f t="shared" si="8"/>
        <v>0</v>
      </c>
      <c r="F23" s="35">
        <f t="shared" si="8"/>
        <v>0</v>
      </c>
      <c r="G23" s="35">
        <f t="shared" si="8"/>
        <v>0</v>
      </c>
      <c r="H23" s="35">
        <f t="shared" si="8"/>
        <v>0</v>
      </c>
      <c r="I23" s="35">
        <f t="shared" si="8"/>
        <v>0</v>
      </c>
      <c r="J23" s="35">
        <f t="shared" si="8"/>
        <v>0</v>
      </c>
      <c r="K23" s="35">
        <f t="shared" si="8"/>
        <v>0</v>
      </c>
      <c r="L23" s="35">
        <f t="shared" si="8"/>
        <v>0</v>
      </c>
    </row>
    <row r="24" spans="1:12" x14ac:dyDescent="0.25"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</row>
    <row r="25" spans="1:12" x14ac:dyDescent="0.25">
      <c r="A25" s="27" t="s">
        <v>140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</row>
    <row r="26" spans="1:12" x14ac:dyDescent="0.25">
      <c r="A26" t="s">
        <v>141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2" x14ac:dyDescent="0.25">
      <c r="A27" t="s">
        <v>142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2" x14ac:dyDescent="0.25"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</row>
    <row r="29" spans="1:12" x14ac:dyDescent="0.25">
      <c r="A29" s="27" t="s">
        <v>169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</row>
    <row r="30" spans="1:12" x14ac:dyDescent="0.25">
      <c r="A30" t="s">
        <v>143</v>
      </c>
      <c r="B30" s="35">
        <v>0</v>
      </c>
      <c r="C30" s="35">
        <f>B33</f>
        <v>0</v>
      </c>
      <c r="D30" s="35">
        <f t="shared" ref="D30:L30" si="9">C33</f>
        <v>0</v>
      </c>
      <c r="E30" s="35">
        <f t="shared" si="9"/>
        <v>0</v>
      </c>
      <c r="F30" s="35">
        <f t="shared" si="9"/>
        <v>0</v>
      </c>
      <c r="G30" s="35">
        <f t="shared" si="9"/>
        <v>0</v>
      </c>
      <c r="H30" s="35">
        <f t="shared" si="9"/>
        <v>0</v>
      </c>
      <c r="I30" s="35">
        <f t="shared" si="9"/>
        <v>0</v>
      </c>
      <c r="J30" s="35">
        <f t="shared" si="9"/>
        <v>0</v>
      </c>
      <c r="K30" s="35">
        <f t="shared" si="9"/>
        <v>0</v>
      </c>
      <c r="L30" s="35">
        <f t="shared" si="9"/>
        <v>0</v>
      </c>
    </row>
    <row r="31" spans="1:12" x14ac:dyDescent="0.25">
      <c r="A31" t="s">
        <v>144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 x14ac:dyDescent="0.25">
      <c r="A32" t="s">
        <v>145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spans="1:12" s="38" customFormat="1" x14ac:dyDescent="0.25">
      <c r="A33" s="38" t="s">
        <v>146</v>
      </c>
      <c r="B33" s="35">
        <f>SUM(B30:B32)</f>
        <v>0</v>
      </c>
      <c r="C33" s="35">
        <f t="shared" ref="C33:L33" si="10">SUM(C30:C32)</f>
        <v>0</v>
      </c>
      <c r="D33" s="35">
        <f t="shared" si="10"/>
        <v>0</v>
      </c>
      <c r="E33" s="35">
        <f t="shared" si="10"/>
        <v>0</v>
      </c>
      <c r="F33" s="35">
        <f t="shared" si="10"/>
        <v>0</v>
      </c>
      <c r="G33" s="35">
        <f t="shared" si="10"/>
        <v>0</v>
      </c>
      <c r="H33" s="35">
        <f t="shared" si="10"/>
        <v>0</v>
      </c>
      <c r="I33" s="35">
        <f t="shared" si="10"/>
        <v>0</v>
      </c>
      <c r="J33" s="35">
        <f t="shared" si="10"/>
        <v>0</v>
      </c>
      <c r="K33" s="35">
        <f t="shared" si="10"/>
        <v>0</v>
      </c>
      <c r="L33" s="35">
        <f t="shared" si="10"/>
        <v>0</v>
      </c>
    </row>
    <row r="34" spans="1:12" x14ac:dyDescent="0.25"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</row>
    <row r="35" spans="1:12" x14ac:dyDescent="0.25">
      <c r="A35" t="s">
        <v>147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</row>
    <row r="36" spans="1:12" x14ac:dyDescent="0.25">
      <c r="A36" t="s">
        <v>148</v>
      </c>
      <c r="B36" s="35">
        <f>(B30+B35)/2*B33/100</f>
        <v>0</v>
      </c>
      <c r="C36" s="35">
        <f t="shared" ref="C36:L36" si="11">(C30+C35)/2*C33/100</f>
        <v>0</v>
      </c>
      <c r="D36" s="35">
        <f t="shared" si="11"/>
        <v>0</v>
      </c>
      <c r="E36" s="35">
        <f t="shared" si="11"/>
        <v>0</v>
      </c>
      <c r="F36" s="35">
        <f t="shared" si="11"/>
        <v>0</v>
      </c>
      <c r="G36" s="35">
        <f t="shared" si="11"/>
        <v>0</v>
      </c>
      <c r="H36" s="35">
        <f t="shared" si="11"/>
        <v>0</v>
      </c>
      <c r="I36" s="35">
        <f t="shared" si="11"/>
        <v>0</v>
      </c>
      <c r="J36" s="35">
        <f t="shared" si="11"/>
        <v>0</v>
      </c>
      <c r="K36" s="35">
        <f t="shared" si="11"/>
        <v>0</v>
      </c>
      <c r="L36" s="35">
        <f t="shared" si="11"/>
        <v>0</v>
      </c>
    </row>
    <row r="37" spans="1:12" x14ac:dyDescent="0.25"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</row>
    <row r="38" spans="1:12" x14ac:dyDescent="0.25">
      <c r="A38" s="27" t="s">
        <v>149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</row>
    <row r="39" spans="1:12" x14ac:dyDescent="0.25">
      <c r="A39" t="s">
        <v>150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</row>
    <row r="40" spans="1:12" x14ac:dyDescent="0.25">
      <c r="A40" t="s">
        <v>151</v>
      </c>
      <c r="B40" s="35">
        <f>B23</f>
        <v>0</v>
      </c>
      <c r="C40" s="35">
        <f t="shared" ref="C40:L40" si="12">C23</f>
        <v>0</v>
      </c>
      <c r="D40" s="35">
        <f t="shared" si="12"/>
        <v>0</v>
      </c>
      <c r="E40" s="35">
        <f t="shared" si="12"/>
        <v>0</v>
      </c>
      <c r="F40" s="35">
        <f t="shared" si="12"/>
        <v>0</v>
      </c>
      <c r="G40" s="35">
        <f t="shared" si="12"/>
        <v>0</v>
      </c>
      <c r="H40" s="35">
        <f t="shared" si="12"/>
        <v>0</v>
      </c>
      <c r="I40" s="35">
        <f t="shared" si="12"/>
        <v>0</v>
      </c>
      <c r="J40" s="35">
        <f t="shared" si="12"/>
        <v>0</v>
      </c>
      <c r="K40" s="35">
        <f t="shared" si="12"/>
        <v>0</v>
      </c>
      <c r="L40" s="35">
        <f t="shared" si="12"/>
        <v>0</v>
      </c>
    </row>
    <row r="41" spans="1:12" x14ac:dyDescent="0.25">
      <c r="A41" t="s">
        <v>152</v>
      </c>
      <c r="B41" s="35">
        <f>B17</f>
        <v>0</v>
      </c>
      <c r="C41" s="35">
        <f t="shared" ref="C41:L41" si="13">C17</f>
        <v>0</v>
      </c>
      <c r="D41" s="35">
        <f t="shared" si="13"/>
        <v>0</v>
      </c>
      <c r="E41" s="35">
        <f t="shared" si="13"/>
        <v>0</v>
      </c>
      <c r="F41" s="35">
        <f t="shared" si="13"/>
        <v>0</v>
      </c>
      <c r="G41" s="35">
        <f t="shared" si="13"/>
        <v>0</v>
      </c>
      <c r="H41" s="35">
        <f t="shared" si="13"/>
        <v>0</v>
      </c>
      <c r="I41" s="35">
        <f t="shared" si="13"/>
        <v>0</v>
      </c>
      <c r="J41" s="35">
        <f t="shared" si="13"/>
        <v>0</v>
      </c>
      <c r="K41" s="35">
        <f t="shared" si="13"/>
        <v>0</v>
      </c>
      <c r="L41" s="35">
        <f t="shared" si="13"/>
        <v>0</v>
      </c>
    </row>
    <row r="42" spans="1:12" x14ac:dyDescent="0.25">
      <c r="A42" t="s">
        <v>153</v>
      </c>
      <c r="B42" s="35">
        <f>B26</f>
        <v>0</v>
      </c>
      <c r="C42" s="35">
        <f t="shared" ref="C42:L42" si="14">C26</f>
        <v>0</v>
      </c>
      <c r="D42" s="35">
        <f t="shared" si="14"/>
        <v>0</v>
      </c>
      <c r="E42" s="35">
        <f t="shared" si="14"/>
        <v>0</v>
      </c>
      <c r="F42" s="35">
        <f t="shared" si="14"/>
        <v>0</v>
      </c>
      <c r="G42" s="35">
        <f t="shared" si="14"/>
        <v>0</v>
      </c>
      <c r="H42" s="35">
        <f t="shared" si="14"/>
        <v>0</v>
      </c>
      <c r="I42" s="35">
        <f t="shared" si="14"/>
        <v>0</v>
      </c>
      <c r="J42" s="35">
        <f t="shared" si="14"/>
        <v>0</v>
      </c>
      <c r="K42" s="35">
        <f t="shared" si="14"/>
        <v>0</v>
      </c>
      <c r="L42" s="35">
        <f t="shared" si="14"/>
        <v>0</v>
      </c>
    </row>
    <row r="43" spans="1:12" x14ac:dyDescent="0.25">
      <c r="A43" t="s">
        <v>154</v>
      </c>
      <c r="B43" s="35">
        <f>B27</f>
        <v>0</v>
      </c>
      <c r="C43" s="35">
        <f t="shared" ref="C43:L43" si="15">C27</f>
        <v>0</v>
      </c>
      <c r="D43" s="35">
        <f t="shared" si="15"/>
        <v>0</v>
      </c>
      <c r="E43" s="35">
        <f t="shared" si="15"/>
        <v>0</v>
      </c>
      <c r="F43" s="35">
        <f t="shared" si="15"/>
        <v>0</v>
      </c>
      <c r="G43" s="35">
        <f t="shared" si="15"/>
        <v>0</v>
      </c>
      <c r="H43" s="35">
        <f t="shared" si="15"/>
        <v>0</v>
      </c>
      <c r="I43" s="35">
        <f t="shared" si="15"/>
        <v>0</v>
      </c>
      <c r="J43" s="35">
        <f t="shared" si="15"/>
        <v>0</v>
      </c>
      <c r="K43" s="35">
        <f t="shared" si="15"/>
        <v>0</v>
      </c>
      <c r="L43" s="35">
        <f t="shared" si="15"/>
        <v>0</v>
      </c>
    </row>
    <row r="44" spans="1:12" s="38" customFormat="1" x14ac:dyDescent="0.25">
      <c r="A44" s="38" t="s">
        <v>155</v>
      </c>
      <c r="B44" s="35">
        <f>B40+B41+B42-B43</f>
        <v>0</v>
      </c>
      <c r="C44" s="35">
        <f t="shared" ref="C44:L44" si="16">C40+C41+C42-C43</f>
        <v>0</v>
      </c>
      <c r="D44" s="35">
        <f t="shared" si="16"/>
        <v>0</v>
      </c>
      <c r="E44" s="35">
        <f t="shared" si="16"/>
        <v>0</v>
      </c>
      <c r="F44" s="35">
        <f t="shared" si="16"/>
        <v>0</v>
      </c>
      <c r="G44" s="35">
        <f t="shared" si="16"/>
        <v>0</v>
      </c>
      <c r="H44" s="35">
        <f t="shared" si="16"/>
        <v>0</v>
      </c>
      <c r="I44" s="35">
        <f t="shared" si="16"/>
        <v>0</v>
      </c>
      <c r="J44" s="35">
        <f t="shared" si="16"/>
        <v>0</v>
      </c>
      <c r="K44" s="35">
        <f t="shared" si="16"/>
        <v>0</v>
      </c>
      <c r="L44" s="35">
        <f t="shared" si="16"/>
        <v>0</v>
      </c>
    </row>
    <row r="45" spans="1:12" x14ac:dyDescent="0.25"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</row>
    <row r="46" spans="1:12" x14ac:dyDescent="0.25">
      <c r="A46" t="s">
        <v>156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</row>
    <row r="47" spans="1:12" x14ac:dyDescent="0.25">
      <c r="A47" t="s">
        <v>157</v>
      </c>
      <c r="B47" s="35">
        <f>B44</f>
        <v>0</v>
      </c>
      <c r="C47" s="35">
        <f t="shared" ref="C47:L47" si="17">C44</f>
        <v>0</v>
      </c>
      <c r="D47" s="35">
        <f t="shared" si="17"/>
        <v>0</v>
      </c>
      <c r="E47" s="35">
        <f t="shared" si="17"/>
        <v>0</v>
      </c>
      <c r="F47" s="35">
        <f t="shared" si="17"/>
        <v>0</v>
      </c>
      <c r="G47" s="35">
        <f t="shared" si="17"/>
        <v>0</v>
      </c>
      <c r="H47" s="35">
        <f t="shared" si="17"/>
        <v>0</v>
      </c>
      <c r="I47" s="35">
        <f t="shared" si="17"/>
        <v>0</v>
      </c>
      <c r="J47" s="35">
        <f t="shared" si="17"/>
        <v>0</v>
      </c>
      <c r="K47" s="35">
        <f t="shared" si="17"/>
        <v>0</v>
      </c>
      <c r="L47" s="35">
        <f t="shared" si="17"/>
        <v>0</v>
      </c>
    </row>
    <row r="48" spans="1:12" x14ac:dyDescent="0.25">
      <c r="A48" t="s">
        <v>158</v>
      </c>
      <c r="B48" s="35">
        <f>-B36</f>
        <v>0</v>
      </c>
      <c r="C48" s="35">
        <f t="shared" ref="C48:L48" si="18">-C36</f>
        <v>0</v>
      </c>
      <c r="D48" s="35">
        <f t="shared" si="18"/>
        <v>0</v>
      </c>
      <c r="E48" s="35">
        <f t="shared" si="18"/>
        <v>0</v>
      </c>
      <c r="F48" s="35">
        <f t="shared" si="18"/>
        <v>0</v>
      </c>
      <c r="G48" s="35">
        <f t="shared" si="18"/>
        <v>0</v>
      </c>
      <c r="H48" s="35">
        <f t="shared" si="18"/>
        <v>0</v>
      </c>
      <c r="I48" s="35">
        <f t="shared" si="18"/>
        <v>0</v>
      </c>
      <c r="J48" s="35">
        <f t="shared" si="18"/>
        <v>0</v>
      </c>
      <c r="K48" s="35">
        <f t="shared" si="18"/>
        <v>0</v>
      </c>
      <c r="L48" s="35">
        <f t="shared" si="18"/>
        <v>0</v>
      </c>
    </row>
    <row r="49" spans="1:12" x14ac:dyDescent="0.25">
      <c r="A49" t="s">
        <v>159</v>
      </c>
      <c r="B49" s="35">
        <f>B32</f>
        <v>0</v>
      </c>
      <c r="C49" s="35">
        <f t="shared" ref="C49:L49" si="19">C32</f>
        <v>0</v>
      </c>
      <c r="D49" s="35">
        <f t="shared" si="19"/>
        <v>0</v>
      </c>
      <c r="E49" s="35">
        <f t="shared" si="19"/>
        <v>0</v>
      </c>
      <c r="F49" s="35">
        <f t="shared" si="19"/>
        <v>0</v>
      </c>
      <c r="G49" s="35">
        <f t="shared" si="19"/>
        <v>0</v>
      </c>
      <c r="H49" s="35">
        <f t="shared" si="19"/>
        <v>0</v>
      </c>
      <c r="I49" s="35">
        <f t="shared" si="19"/>
        <v>0</v>
      </c>
      <c r="J49" s="35">
        <f t="shared" si="19"/>
        <v>0</v>
      </c>
      <c r="K49" s="35">
        <f t="shared" si="19"/>
        <v>0</v>
      </c>
      <c r="L49" s="35">
        <f t="shared" si="19"/>
        <v>0</v>
      </c>
    </row>
    <row r="50" spans="1:12" x14ac:dyDescent="0.25">
      <c r="A50" t="s">
        <v>160</v>
      </c>
      <c r="B50" s="35">
        <f>B31</f>
        <v>0</v>
      </c>
      <c r="C50" s="35">
        <f t="shared" ref="C50:L50" si="20">C31</f>
        <v>0</v>
      </c>
      <c r="D50" s="35">
        <f t="shared" si="20"/>
        <v>0</v>
      </c>
      <c r="E50" s="35">
        <f t="shared" si="20"/>
        <v>0</v>
      </c>
      <c r="F50" s="35">
        <f t="shared" si="20"/>
        <v>0</v>
      </c>
      <c r="G50" s="35">
        <f t="shared" si="20"/>
        <v>0</v>
      </c>
      <c r="H50" s="35">
        <f t="shared" si="20"/>
        <v>0</v>
      </c>
      <c r="I50" s="35">
        <f t="shared" si="20"/>
        <v>0</v>
      </c>
      <c r="J50" s="35">
        <f t="shared" si="20"/>
        <v>0</v>
      </c>
      <c r="K50" s="35">
        <f t="shared" si="20"/>
        <v>0</v>
      </c>
      <c r="L50" s="35">
        <f t="shared" si="20"/>
        <v>0</v>
      </c>
    </row>
    <row r="51" spans="1:12" x14ac:dyDescent="0.25">
      <c r="A51" t="s">
        <v>170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</row>
    <row r="52" spans="1:12" s="38" customFormat="1" x14ac:dyDescent="0.25">
      <c r="A52" s="38" t="s">
        <v>161</v>
      </c>
      <c r="B52" s="35">
        <f>SUM(B47:B51)</f>
        <v>0</v>
      </c>
      <c r="C52" s="35">
        <f t="shared" ref="C52:L52" si="21">SUM(C47:C51)</f>
        <v>0</v>
      </c>
      <c r="D52" s="35">
        <f t="shared" si="21"/>
        <v>0</v>
      </c>
      <c r="E52" s="35">
        <f t="shared" si="21"/>
        <v>0</v>
      </c>
      <c r="F52" s="35">
        <f t="shared" si="21"/>
        <v>0</v>
      </c>
      <c r="G52" s="35">
        <f t="shared" si="21"/>
        <v>0</v>
      </c>
      <c r="H52" s="35">
        <f t="shared" si="21"/>
        <v>0</v>
      </c>
      <c r="I52" s="35">
        <f t="shared" si="21"/>
        <v>0</v>
      </c>
      <c r="J52" s="35">
        <f t="shared" si="21"/>
        <v>0</v>
      </c>
      <c r="K52" s="35">
        <f t="shared" si="21"/>
        <v>0</v>
      </c>
      <c r="L52" s="35">
        <f t="shared" si="21"/>
        <v>0</v>
      </c>
    </row>
    <row r="53" spans="1:12" x14ac:dyDescent="0.25"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x14ac:dyDescent="0.25">
      <c r="A54" s="27" t="s">
        <v>162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x14ac:dyDescent="0.25">
      <c r="A55" t="s">
        <v>106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</row>
    <row r="56" spans="1:12" x14ac:dyDescent="0.25">
      <c r="A56" t="s">
        <v>103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</row>
    <row r="57" spans="1:12" x14ac:dyDescent="0.25">
      <c r="A57" t="s">
        <v>163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</row>
    <row r="58" spans="1:12" x14ac:dyDescent="0.25">
      <c r="A58" t="s">
        <v>164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</row>
    <row r="59" spans="1:12" x14ac:dyDescent="0.25">
      <c r="A59" t="s">
        <v>165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</row>
    <row r="60" spans="1:12" x14ac:dyDescent="0.25"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spans="1:12" x14ac:dyDescent="0.25">
      <c r="A61" s="27" t="s">
        <v>166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x14ac:dyDescent="0.25">
      <c r="A62" t="s">
        <v>167</v>
      </c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</row>
    <row r="63" spans="1:12" x14ac:dyDescent="0.25">
      <c r="A63" s="39" t="s">
        <v>168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</row>
  </sheetData>
  <mergeCells count="1">
    <mergeCell ref="A1:L1"/>
  </mergeCells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showGridLines="0" workbookViewId="0">
      <selection sqref="A1:B1"/>
    </sheetView>
  </sheetViews>
  <sheetFormatPr defaultRowHeight="15" x14ac:dyDescent="0.25"/>
  <cols>
    <col min="1" max="1" width="117" customWidth="1"/>
    <col min="2" max="2" width="25.7109375" customWidth="1"/>
  </cols>
  <sheetData>
    <row r="1" spans="1:2" ht="21" x14ac:dyDescent="0.35">
      <c r="A1" s="43" t="s">
        <v>171</v>
      </c>
      <c r="B1" s="43"/>
    </row>
    <row r="3" spans="1:2" x14ac:dyDescent="0.25">
      <c r="A3" s="44" t="s">
        <v>172</v>
      </c>
    </row>
    <row r="5" spans="1:2" x14ac:dyDescent="0.25">
      <c r="A5" s="55" t="s">
        <v>204</v>
      </c>
      <c r="B5" s="62"/>
    </row>
    <row r="6" spans="1:2" x14ac:dyDescent="0.25">
      <c r="A6" s="14" t="s">
        <v>173</v>
      </c>
      <c r="B6" s="19"/>
    </row>
    <row r="7" spans="1:2" x14ac:dyDescent="0.25">
      <c r="A7" s="14" t="s">
        <v>174</v>
      </c>
      <c r="B7" s="19"/>
    </row>
    <row r="8" spans="1:2" x14ac:dyDescent="0.25">
      <c r="A8" s="14" t="s">
        <v>175</v>
      </c>
      <c r="B8" s="19"/>
    </row>
    <row r="9" spans="1:2" ht="30" x14ac:dyDescent="0.25">
      <c r="A9" s="45" t="s">
        <v>180</v>
      </c>
      <c r="B9" s="20"/>
    </row>
    <row r="10" spans="1:2" x14ac:dyDescent="0.25">
      <c r="A10" s="14" t="s">
        <v>176</v>
      </c>
      <c r="B10" s="48">
        <f>B6+(B7*B8)</f>
        <v>0</v>
      </c>
    </row>
    <row r="11" spans="1:2" x14ac:dyDescent="0.25">
      <c r="A11" s="14"/>
      <c r="B11" s="20"/>
    </row>
    <row r="12" spans="1:2" x14ac:dyDescent="0.25">
      <c r="A12" s="14" t="s">
        <v>177</v>
      </c>
      <c r="B12" s="19"/>
    </row>
    <row r="13" spans="1:2" x14ac:dyDescent="0.25">
      <c r="A13" s="14" t="s">
        <v>178</v>
      </c>
      <c r="B13" s="20"/>
    </row>
    <row r="14" spans="1:2" x14ac:dyDescent="0.25">
      <c r="A14" s="14"/>
      <c r="B14" s="20"/>
    </row>
    <row r="15" spans="1:2" x14ac:dyDescent="0.25">
      <c r="A15" s="14" t="s">
        <v>179</v>
      </c>
      <c r="B15" s="48">
        <f>B10+B12</f>
        <v>0</v>
      </c>
    </row>
    <row r="16" spans="1:2" x14ac:dyDescent="0.25">
      <c r="A16" s="46"/>
      <c r="B16" s="49"/>
    </row>
    <row r="17" spans="1:2" x14ac:dyDescent="0.25">
      <c r="A17" s="55" t="s">
        <v>181</v>
      </c>
      <c r="B17" s="62"/>
    </row>
    <row r="18" spans="1:2" x14ac:dyDescent="0.25">
      <c r="A18" s="14" t="s">
        <v>182</v>
      </c>
      <c r="B18" s="20"/>
    </row>
    <row r="19" spans="1:2" x14ac:dyDescent="0.25">
      <c r="A19" s="14" t="s">
        <v>183</v>
      </c>
      <c r="B19" s="20"/>
    </row>
    <row r="20" spans="1:2" x14ac:dyDescent="0.25">
      <c r="A20" s="46"/>
      <c r="B20" s="49"/>
    </row>
    <row r="21" spans="1:2" x14ac:dyDescent="0.25">
      <c r="A21" s="55" t="s">
        <v>184</v>
      </c>
      <c r="B21" s="62"/>
    </row>
    <row r="22" spans="1:2" x14ac:dyDescent="0.25">
      <c r="A22" s="14" t="s">
        <v>185</v>
      </c>
      <c r="B22" s="19"/>
    </row>
    <row r="23" spans="1:2" x14ac:dyDescent="0.25">
      <c r="A23" s="14" t="s">
        <v>137</v>
      </c>
      <c r="B23" s="50">
        <f>Projections!B21</f>
        <v>0.25168000000000001</v>
      </c>
    </row>
    <row r="24" spans="1:2" x14ac:dyDescent="0.25">
      <c r="A24" s="14" t="s">
        <v>186</v>
      </c>
      <c r="B24" s="48">
        <f>B22*(1-B23)</f>
        <v>0</v>
      </c>
    </row>
    <row r="25" spans="1:2" x14ac:dyDescent="0.25">
      <c r="A25" s="46"/>
      <c r="B25" s="49"/>
    </row>
    <row r="26" spans="1:2" x14ac:dyDescent="0.25">
      <c r="A26" s="55" t="s">
        <v>187</v>
      </c>
      <c r="B26" s="62"/>
    </row>
    <row r="27" spans="1:2" x14ac:dyDescent="0.25">
      <c r="A27" s="14" t="s">
        <v>188</v>
      </c>
      <c r="B27" s="50"/>
    </row>
    <row r="28" spans="1:2" x14ac:dyDescent="0.25">
      <c r="A28" s="14" t="s">
        <v>189</v>
      </c>
      <c r="B28" s="50"/>
    </row>
    <row r="29" spans="1:2" x14ac:dyDescent="0.25">
      <c r="A29" s="14" t="s">
        <v>190</v>
      </c>
      <c r="B29" s="48">
        <f>SUM(B27:B28)</f>
        <v>0</v>
      </c>
    </row>
    <row r="30" spans="1:2" x14ac:dyDescent="0.25">
      <c r="A30" s="46"/>
      <c r="B30" s="49"/>
    </row>
    <row r="31" spans="1:2" x14ac:dyDescent="0.25">
      <c r="A31" s="55" t="s">
        <v>191</v>
      </c>
      <c r="B31" s="56"/>
    </row>
    <row r="32" spans="1:2" x14ac:dyDescent="0.25">
      <c r="A32" s="14" t="s">
        <v>192</v>
      </c>
      <c r="B32" s="48">
        <f>IF(B18=0,B15,B18)</f>
        <v>0</v>
      </c>
    </row>
    <row r="33" spans="1:2" x14ac:dyDescent="0.25">
      <c r="A33" s="14" t="s">
        <v>193</v>
      </c>
      <c r="B33" s="48">
        <f>B24</f>
        <v>0</v>
      </c>
    </row>
    <row r="34" spans="1:2" x14ac:dyDescent="0.25">
      <c r="A34" s="14" t="s">
        <v>194</v>
      </c>
      <c r="B34" s="51">
        <f>B27*B32+B28*B33</f>
        <v>0</v>
      </c>
    </row>
    <row r="35" spans="1:2" x14ac:dyDescent="0.25">
      <c r="A35" s="46"/>
      <c r="B35" s="49"/>
    </row>
    <row r="36" spans="1:2" x14ac:dyDescent="0.25">
      <c r="A36" s="55" t="s">
        <v>195</v>
      </c>
      <c r="B36" s="62"/>
    </row>
    <row r="37" spans="1:2" ht="30" x14ac:dyDescent="0.25">
      <c r="A37" s="14" t="s">
        <v>196</v>
      </c>
      <c r="B37" s="52" t="s">
        <v>197</v>
      </c>
    </row>
    <row r="38" spans="1:2" ht="60" x14ac:dyDescent="0.25">
      <c r="A38" s="14" t="s">
        <v>198</v>
      </c>
      <c r="B38" s="52" t="s">
        <v>199</v>
      </c>
    </row>
    <row r="39" spans="1:2" ht="30" x14ac:dyDescent="0.25">
      <c r="A39" s="14" t="s">
        <v>200</v>
      </c>
      <c r="B39" s="52" t="s">
        <v>201</v>
      </c>
    </row>
    <row r="40" spans="1:2" x14ac:dyDescent="0.25">
      <c r="A40" s="14" t="s">
        <v>202</v>
      </c>
      <c r="B40" s="53"/>
    </row>
    <row r="41" spans="1:2" x14ac:dyDescent="0.25">
      <c r="A41" s="46" t="s">
        <v>203</v>
      </c>
      <c r="B41" s="54"/>
    </row>
  </sheetData>
  <mergeCells count="1">
    <mergeCell ref="A1:B1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showGridLines="0" workbookViewId="0">
      <selection sqref="A1:C1"/>
    </sheetView>
  </sheetViews>
  <sheetFormatPr defaultRowHeight="15" x14ac:dyDescent="0.25"/>
  <cols>
    <col min="1" max="1" width="61.85546875" customWidth="1"/>
    <col min="2" max="3" width="20.7109375" customWidth="1"/>
  </cols>
  <sheetData>
    <row r="1" spans="1:3" ht="21" x14ac:dyDescent="0.35">
      <c r="A1" s="43" t="s">
        <v>205</v>
      </c>
      <c r="B1" s="43"/>
      <c r="C1" s="43"/>
    </row>
    <row r="3" spans="1:3" x14ac:dyDescent="0.25">
      <c r="A3" s="55" t="s">
        <v>206</v>
      </c>
      <c r="B3" s="72"/>
      <c r="C3" s="62"/>
    </row>
    <row r="4" spans="1:3" x14ac:dyDescent="0.25">
      <c r="A4" s="14" t="s">
        <v>207</v>
      </c>
      <c r="B4" s="71" t="str">
        <f>Cover!B37</f>
        <v>Gordon Growth</v>
      </c>
      <c r="C4" s="20"/>
    </row>
    <row r="5" spans="1:3" x14ac:dyDescent="0.25">
      <c r="A5" s="14"/>
      <c r="B5" s="20"/>
      <c r="C5" s="20"/>
    </row>
    <row r="6" spans="1:3" x14ac:dyDescent="0.25">
      <c r="A6" s="14" t="s">
        <v>208</v>
      </c>
      <c r="B6" s="20"/>
      <c r="C6" s="20"/>
    </row>
    <row r="7" spans="1:3" x14ac:dyDescent="0.25">
      <c r="A7" s="14" t="s">
        <v>209</v>
      </c>
      <c r="B7" s="19"/>
      <c r="C7" s="20"/>
    </row>
    <row r="8" spans="1:3" x14ac:dyDescent="0.25">
      <c r="A8" s="59" t="s">
        <v>210</v>
      </c>
      <c r="B8" s="20"/>
      <c r="C8" s="20"/>
    </row>
    <row r="9" spans="1:3" x14ac:dyDescent="0.25">
      <c r="A9" s="14"/>
      <c r="B9" s="20"/>
      <c r="C9" s="20"/>
    </row>
    <row r="10" spans="1:3" x14ac:dyDescent="0.25">
      <c r="A10" s="14" t="s">
        <v>211</v>
      </c>
      <c r="B10" s="20"/>
      <c r="C10" s="20"/>
    </row>
    <row r="11" spans="1:3" x14ac:dyDescent="0.25">
      <c r="A11" s="14" t="s">
        <v>212</v>
      </c>
      <c r="B11" s="19"/>
      <c r="C11" s="20"/>
    </row>
    <row r="12" spans="1:3" x14ac:dyDescent="0.25">
      <c r="A12" s="14"/>
      <c r="B12" s="49"/>
      <c r="C12" s="49"/>
    </row>
    <row r="13" spans="1:3" x14ac:dyDescent="0.25">
      <c r="A13" s="55" t="s">
        <v>213</v>
      </c>
      <c r="B13" s="72"/>
      <c r="C13" s="62"/>
    </row>
    <row r="14" spans="1:3" x14ac:dyDescent="0.25">
      <c r="A14" s="14" t="s">
        <v>214</v>
      </c>
      <c r="B14" s="63" t="s">
        <v>215</v>
      </c>
      <c r="C14" s="63" t="s">
        <v>216</v>
      </c>
    </row>
    <row r="15" spans="1:3" x14ac:dyDescent="0.25">
      <c r="A15" s="14" t="s">
        <v>217</v>
      </c>
      <c r="B15" s="64">
        <v>-0.02</v>
      </c>
      <c r="C15" s="64">
        <v>0.02</v>
      </c>
    </row>
    <row r="16" spans="1:3" x14ac:dyDescent="0.25">
      <c r="A16" s="14" t="s">
        <v>218</v>
      </c>
      <c r="B16" s="64">
        <v>-0.01</v>
      </c>
      <c r="C16" s="64">
        <v>0.01</v>
      </c>
    </row>
    <row r="17" spans="1:3" x14ac:dyDescent="0.25">
      <c r="A17" s="14" t="s">
        <v>219</v>
      </c>
      <c r="B17" s="64">
        <v>-0.1</v>
      </c>
      <c r="C17" s="64">
        <v>0.1</v>
      </c>
    </row>
    <row r="18" spans="1:3" x14ac:dyDescent="0.25">
      <c r="A18" s="14" t="s">
        <v>220</v>
      </c>
      <c r="B18" s="64">
        <v>-0.15</v>
      </c>
      <c r="C18" s="64">
        <v>0.15</v>
      </c>
    </row>
    <row r="19" spans="1:3" x14ac:dyDescent="0.25">
      <c r="A19" s="14" t="s">
        <v>221</v>
      </c>
      <c r="B19" s="64">
        <v>-0.2</v>
      </c>
      <c r="C19" s="64">
        <v>0.2</v>
      </c>
    </row>
    <row r="20" spans="1:3" x14ac:dyDescent="0.25">
      <c r="A20" s="14"/>
      <c r="B20" s="65"/>
      <c r="C20" s="65"/>
    </row>
    <row r="21" spans="1:3" ht="64.5" customHeight="1" x14ac:dyDescent="0.25">
      <c r="A21" s="60" t="s">
        <v>222</v>
      </c>
      <c r="B21" s="65"/>
      <c r="C21" s="65"/>
    </row>
    <row r="22" spans="1:3" x14ac:dyDescent="0.25">
      <c r="A22" s="60"/>
      <c r="B22" s="65"/>
      <c r="C22" s="65"/>
    </row>
    <row r="23" spans="1:3" x14ac:dyDescent="0.25">
      <c r="A23" s="55" t="s">
        <v>223</v>
      </c>
      <c r="B23" s="72"/>
      <c r="C23" s="62"/>
    </row>
    <row r="24" spans="1:3" x14ac:dyDescent="0.25">
      <c r="A24" s="14" t="s">
        <v>224</v>
      </c>
      <c r="B24" s="66" t="s">
        <v>31</v>
      </c>
      <c r="C24" s="15"/>
    </row>
    <row r="25" spans="1:3" x14ac:dyDescent="0.25">
      <c r="A25" s="14" t="s">
        <v>225</v>
      </c>
      <c r="B25" s="37"/>
      <c r="C25" s="15"/>
    </row>
    <row r="26" spans="1:3" x14ac:dyDescent="0.25">
      <c r="A26" s="14" t="s">
        <v>226</v>
      </c>
      <c r="B26" s="20"/>
      <c r="C26" s="15"/>
    </row>
    <row r="27" spans="1:3" x14ac:dyDescent="0.25">
      <c r="A27" s="14" t="s">
        <v>227</v>
      </c>
      <c r="B27" s="19"/>
      <c r="C27" s="15"/>
    </row>
    <row r="28" spans="1:3" x14ac:dyDescent="0.25">
      <c r="A28" s="14"/>
      <c r="B28" s="20"/>
      <c r="C28" s="15"/>
    </row>
    <row r="29" spans="1:3" x14ac:dyDescent="0.25">
      <c r="A29" s="55" t="s">
        <v>228</v>
      </c>
      <c r="B29" s="72"/>
      <c r="C29" s="62"/>
    </row>
    <row r="30" spans="1:3" x14ac:dyDescent="0.25">
      <c r="A30" s="14" t="s">
        <v>229</v>
      </c>
      <c r="B30" s="66" t="s">
        <v>31</v>
      </c>
      <c r="C30" s="15"/>
    </row>
    <row r="31" spans="1:3" x14ac:dyDescent="0.25">
      <c r="A31" s="14" t="s">
        <v>230</v>
      </c>
      <c r="B31" s="37"/>
      <c r="C31" s="15"/>
    </row>
    <row r="32" spans="1:3" x14ac:dyDescent="0.25">
      <c r="A32" s="14" t="s">
        <v>232</v>
      </c>
      <c r="B32" s="20"/>
      <c r="C32" s="15"/>
    </row>
    <row r="33" spans="1:3" x14ac:dyDescent="0.25">
      <c r="A33" s="14" t="s">
        <v>231</v>
      </c>
      <c r="B33" s="19"/>
      <c r="C33" s="15"/>
    </row>
    <row r="34" spans="1:3" x14ac:dyDescent="0.25">
      <c r="A34" s="14"/>
      <c r="B34" s="20"/>
      <c r="C34" s="15"/>
    </row>
    <row r="35" spans="1:3" x14ac:dyDescent="0.25">
      <c r="A35" s="55" t="s">
        <v>233</v>
      </c>
      <c r="B35" s="72"/>
      <c r="C35" s="62"/>
    </row>
    <row r="36" spans="1:3" x14ac:dyDescent="0.25">
      <c r="A36" s="14" t="s">
        <v>234</v>
      </c>
      <c r="B36" s="64">
        <v>1</v>
      </c>
      <c r="C36" s="15"/>
    </row>
    <row r="37" spans="1:3" x14ac:dyDescent="0.25">
      <c r="A37" s="14" t="s">
        <v>235</v>
      </c>
      <c r="B37" s="64">
        <v>0</v>
      </c>
      <c r="C37" s="15"/>
    </row>
    <row r="38" spans="1:3" x14ac:dyDescent="0.25">
      <c r="A38" s="14" t="s">
        <v>236</v>
      </c>
      <c r="B38" s="64">
        <v>0</v>
      </c>
      <c r="C38" s="15"/>
    </row>
    <row r="39" spans="1:3" x14ac:dyDescent="0.25">
      <c r="A39" s="14" t="s">
        <v>237</v>
      </c>
      <c r="B39" s="67">
        <f>SUM(B36:B38)</f>
        <v>1</v>
      </c>
      <c r="C39" s="15"/>
    </row>
    <row r="40" spans="1:3" x14ac:dyDescent="0.25">
      <c r="A40" s="14" t="s">
        <v>238</v>
      </c>
      <c r="B40" s="19"/>
      <c r="C40" s="15"/>
    </row>
    <row r="41" spans="1:3" x14ac:dyDescent="0.25">
      <c r="A41" s="14"/>
      <c r="B41" s="20"/>
      <c r="C41" s="15"/>
    </row>
    <row r="42" spans="1:3" x14ac:dyDescent="0.25">
      <c r="A42" s="55" t="s">
        <v>239</v>
      </c>
      <c r="B42" s="72"/>
      <c r="C42" s="62"/>
    </row>
    <row r="43" spans="1:3" x14ac:dyDescent="0.25">
      <c r="A43" s="14" t="s">
        <v>240</v>
      </c>
      <c r="B43" s="68" t="str">
        <f>Cover!B40</f>
        <v>Standalone Valuation</v>
      </c>
      <c r="C43" s="15"/>
    </row>
    <row r="44" spans="1:3" x14ac:dyDescent="0.25">
      <c r="A44" s="14" t="s">
        <v>241</v>
      </c>
      <c r="B44" s="69">
        <f>Cover!B41</f>
        <v>0</v>
      </c>
      <c r="C44" s="15"/>
    </row>
    <row r="45" spans="1:3" x14ac:dyDescent="0.25">
      <c r="A45" s="14" t="s">
        <v>242</v>
      </c>
      <c r="B45" s="69">
        <f>Cover!B42</f>
        <v>0</v>
      </c>
      <c r="C45" s="15"/>
    </row>
    <row r="46" spans="1:3" x14ac:dyDescent="0.25">
      <c r="A46" s="14" t="s">
        <v>243</v>
      </c>
      <c r="B46" s="69">
        <f>Cover!B43</f>
        <v>0</v>
      </c>
      <c r="C46" s="15"/>
    </row>
    <row r="47" spans="1:3" x14ac:dyDescent="0.25">
      <c r="A47" s="14" t="s">
        <v>244</v>
      </c>
      <c r="B47" s="69">
        <f>Cover!B44</f>
        <v>0</v>
      </c>
      <c r="C47" s="15"/>
    </row>
    <row r="48" spans="1:3" x14ac:dyDescent="0.25">
      <c r="A48" s="46" t="s">
        <v>245</v>
      </c>
      <c r="B48" s="70">
        <v>0</v>
      </c>
      <c r="C48" s="47"/>
    </row>
  </sheetData>
  <mergeCells count="1">
    <mergeCell ref="A1:C1"/>
  </mergeCells>
  <dataValidations count="1">
    <dataValidation type="list" allowBlank="1" showInputMessage="1" showErrorMessage="1" sqref="B24 B30">
      <formula1>"Yes,No"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showGridLines="0" workbookViewId="0">
      <selection sqref="A1:L1"/>
    </sheetView>
  </sheetViews>
  <sheetFormatPr defaultRowHeight="15" x14ac:dyDescent="0.25"/>
  <cols>
    <col min="1" max="1" width="56.7109375" customWidth="1"/>
    <col min="2" max="12" width="15" customWidth="1"/>
  </cols>
  <sheetData>
    <row r="1" spans="1:12" ht="21" x14ac:dyDescent="0.35">
      <c r="A1" s="75" t="s">
        <v>246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7"/>
    </row>
    <row r="2" spans="1:12" x14ac:dyDescent="0.25">
      <c r="A2" s="14"/>
      <c r="B2" s="57"/>
      <c r="C2" s="57"/>
      <c r="D2" s="57"/>
      <c r="E2" s="57"/>
      <c r="F2" s="57"/>
      <c r="G2" s="57"/>
      <c r="H2" s="57"/>
      <c r="I2" s="57"/>
      <c r="J2" s="57"/>
      <c r="K2" s="57"/>
      <c r="L2" s="15"/>
    </row>
    <row r="3" spans="1:12" x14ac:dyDescent="0.25">
      <c r="A3" s="14" t="s">
        <v>247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15"/>
    </row>
    <row r="4" spans="1:12" x14ac:dyDescent="0.25">
      <c r="A4" s="14"/>
      <c r="B4" s="57"/>
      <c r="C4" s="57"/>
      <c r="D4" s="57"/>
      <c r="E4" s="57"/>
      <c r="F4" s="57"/>
      <c r="G4" s="57"/>
      <c r="H4" s="57"/>
      <c r="I4" s="57"/>
      <c r="J4" s="57"/>
      <c r="K4" s="57"/>
      <c r="L4" s="15"/>
    </row>
    <row r="5" spans="1:12" x14ac:dyDescent="0.25">
      <c r="A5" s="55" t="s">
        <v>248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62"/>
    </row>
    <row r="6" spans="1:12" x14ac:dyDescent="0.25">
      <c r="A6" s="14" t="s">
        <v>249</v>
      </c>
      <c r="B6" s="58"/>
      <c r="C6" s="57"/>
      <c r="D6" s="57"/>
      <c r="E6" s="57"/>
      <c r="F6" s="57"/>
      <c r="G6" s="57"/>
      <c r="H6" s="57"/>
      <c r="I6" s="57"/>
      <c r="J6" s="57"/>
      <c r="K6" s="57"/>
      <c r="L6" s="15"/>
    </row>
    <row r="7" spans="1:12" x14ac:dyDescent="0.25">
      <c r="A7" s="14" t="s">
        <v>250</v>
      </c>
      <c r="B7" s="58"/>
      <c r="C7" s="57"/>
      <c r="D7" s="57"/>
      <c r="E7" s="57"/>
      <c r="F7" s="57"/>
      <c r="G7" s="57"/>
      <c r="H7" s="57"/>
      <c r="I7" s="57"/>
      <c r="J7" s="57"/>
      <c r="K7" s="57"/>
      <c r="L7" s="15"/>
    </row>
    <row r="8" spans="1:12" x14ac:dyDescent="0.25">
      <c r="A8" s="14" t="s">
        <v>251</v>
      </c>
      <c r="B8" s="58"/>
      <c r="C8" s="57"/>
      <c r="D8" s="57"/>
      <c r="E8" s="57"/>
      <c r="F8" s="57"/>
      <c r="G8" s="57"/>
      <c r="H8" s="57"/>
      <c r="I8" s="57"/>
      <c r="J8" s="57"/>
      <c r="K8" s="57"/>
      <c r="L8" s="15"/>
    </row>
    <row r="9" spans="1:12" x14ac:dyDescent="0.25">
      <c r="A9" s="14" t="s">
        <v>252</v>
      </c>
      <c r="B9" s="58"/>
      <c r="C9" s="57"/>
      <c r="D9" s="57"/>
      <c r="E9" s="57"/>
      <c r="F9" s="57"/>
      <c r="G9" s="57"/>
      <c r="H9" s="57"/>
      <c r="I9" s="57"/>
      <c r="J9" s="57"/>
      <c r="K9" s="57"/>
      <c r="L9" s="15"/>
    </row>
    <row r="10" spans="1:12" x14ac:dyDescent="0.25">
      <c r="A10" s="14" t="s">
        <v>253</v>
      </c>
      <c r="B10" s="58"/>
      <c r="C10" s="57"/>
      <c r="D10" s="57"/>
      <c r="E10" s="57"/>
      <c r="F10" s="57"/>
      <c r="G10" s="57"/>
      <c r="H10" s="57"/>
      <c r="I10" s="57"/>
      <c r="J10" s="57"/>
      <c r="K10" s="57"/>
      <c r="L10" s="15"/>
    </row>
    <row r="11" spans="1:12" x14ac:dyDescent="0.25">
      <c r="A11" s="14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15"/>
    </row>
    <row r="12" spans="1:12" x14ac:dyDescent="0.25">
      <c r="A12" s="55" t="s">
        <v>254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62"/>
    </row>
    <row r="13" spans="1:12" s="73" customFormat="1" ht="45" x14ac:dyDescent="0.25">
      <c r="A13" s="79" t="s">
        <v>255</v>
      </c>
      <c r="B13" s="79" t="s">
        <v>256</v>
      </c>
      <c r="C13" s="79" t="s">
        <v>257</v>
      </c>
      <c r="D13" s="79" t="s">
        <v>258</v>
      </c>
      <c r="E13" s="79" t="s">
        <v>277</v>
      </c>
      <c r="F13" s="79" t="s">
        <v>278</v>
      </c>
      <c r="G13" s="79" t="s">
        <v>259</v>
      </c>
      <c r="H13" s="79" t="s">
        <v>260</v>
      </c>
      <c r="I13" s="79" t="s">
        <v>261</v>
      </c>
      <c r="J13" s="79" t="s">
        <v>262</v>
      </c>
      <c r="K13" s="78" t="s">
        <v>263</v>
      </c>
      <c r="L13" s="79" t="s">
        <v>264</v>
      </c>
    </row>
    <row r="14" spans="1:12" x14ac:dyDescent="0.25">
      <c r="A14" s="71">
        <v>1</v>
      </c>
      <c r="B14" s="66"/>
      <c r="C14" s="66"/>
      <c r="D14" s="66"/>
      <c r="E14" s="66"/>
      <c r="F14" s="66"/>
      <c r="G14" s="66"/>
      <c r="H14" s="66"/>
      <c r="I14" s="66"/>
      <c r="J14" s="66"/>
      <c r="K14" s="61"/>
      <c r="L14" s="66"/>
    </row>
    <row r="15" spans="1:12" x14ac:dyDescent="0.25">
      <c r="A15" s="71">
        <v>2</v>
      </c>
      <c r="B15" s="19"/>
      <c r="C15" s="19"/>
      <c r="D15" s="19"/>
      <c r="E15" s="19"/>
      <c r="F15" s="19"/>
      <c r="G15" s="19"/>
      <c r="H15" s="19"/>
      <c r="I15" s="19"/>
      <c r="J15" s="19"/>
      <c r="K15" s="58"/>
      <c r="L15" s="19"/>
    </row>
    <row r="16" spans="1:12" x14ac:dyDescent="0.25">
      <c r="A16" s="71">
        <v>3</v>
      </c>
      <c r="B16" s="19"/>
      <c r="C16" s="19"/>
      <c r="D16" s="19"/>
      <c r="E16" s="19"/>
      <c r="F16" s="19"/>
      <c r="G16" s="19"/>
      <c r="H16" s="19"/>
      <c r="I16" s="19"/>
      <c r="J16" s="19"/>
      <c r="K16" s="58"/>
      <c r="L16" s="19"/>
    </row>
    <row r="17" spans="1:12" x14ac:dyDescent="0.25">
      <c r="A17" s="71">
        <v>4</v>
      </c>
      <c r="B17" s="19"/>
      <c r="C17" s="19"/>
      <c r="D17" s="19"/>
      <c r="E17" s="19"/>
      <c r="F17" s="19"/>
      <c r="G17" s="19"/>
      <c r="H17" s="19"/>
      <c r="I17" s="19"/>
      <c r="J17" s="19"/>
      <c r="K17" s="58"/>
      <c r="L17" s="19"/>
    </row>
    <row r="18" spans="1:12" x14ac:dyDescent="0.25">
      <c r="A18" s="71">
        <v>5</v>
      </c>
      <c r="B18" s="19"/>
      <c r="C18" s="19"/>
      <c r="D18" s="19"/>
      <c r="E18" s="19"/>
      <c r="F18" s="19"/>
      <c r="G18" s="19"/>
      <c r="H18" s="19"/>
      <c r="I18" s="19"/>
      <c r="J18" s="19"/>
      <c r="K18" s="58"/>
      <c r="L18" s="19"/>
    </row>
    <row r="19" spans="1:12" x14ac:dyDescent="0.25">
      <c r="A19" s="71">
        <v>6</v>
      </c>
      <c r="B19" s="19"/>
      <c r="C19" s="19"/>
      <c r="D19" s="19"/>
      <c r="E19" s="19"/>
      <c r="F19" s="19"/>
      <c r="G19" s="19"/>
      <c r="H19" s="19"/>
      <c r="I19" s="19"/>
      <c r="J19" s="19"/>
      <c r="K19" s="58"/>
      <c r="L19" s="19"/>
    </row>
    <row r="20" spans="1:12" x14ac:dyDescent="0.25">
      <c r="A20" s="71">
        <v>7</v>
      </c>
      <c r="B20" s="19"/>
      <c r="C20" s="19"/>
      <c r="D20" s="19"/>
      <c r="E20" s="19"/>
      <c r="F20" s="19"/>
      <c r="G20" s="19"/>
      <c r="H20" s="19"/>
      <c r="I20" s="19"/>
      <c r="J20" s="19"/>
      <c r="K20" s="58"/>
      <c r="L20" s="19"/>
    </row>
    <row r="21" spans="1:12" x14ac:dyDescent="0.25">
      <c r="A21" s="71">
        <v>8</v>
      </c>
      <c r="B21" s="19"/>
      <c r="C21" s="19"/>
      <c r="D21" s="19"/>
      <c r="E21" s="19"/>
      <c r="F21" s="19"/>
      <c r="G21" s="19"/>
      <c r="H21" s="19"/>
      <c r="I21" s="19"/>
      <c r="J21" s="19"/>
      <c r="K21" s="58"/>
      <c r="L21" s="19"/>
    </row>
    <row r="22" spans="1:12" s="74" customFormat="1" x14ac:dyDescent="0.25">
      <c r="A22" s="82" t="s">
        <v>265</v>
      </c>
      <c r="B22" s="83"/>
      <c r="C22" s="83"/>
      <c r="D22" s="83"/>
      <c r="E22" s="83"/>
      <c r="F22" s="84"/>
      <c r="G22" s="81">
        <f>IFERROR(MEDIAN(G14:G21),0)</f>
        <v>0</v>
      </c>
      <c r="H22" s="81">
        <f>IFERROR(MEDIAN(H14:H21),0)</f>
        <v>0</v>
      </c>
      <c r="I22" s="81">
        <f>IFERROR(MEDIAN(I14:I21),0)</f>
        <v>0</v>
      </c>
      <c r="J22" s="81">
        <f>IFERROR(MEDIAN(J14:J21),0)</f>
        <v>0</v>
      </c>
      <c r="K22" s="81">
        <f>IFERROR(MEDIAN(K14:K21),0)</f>
        <v>0</v>
      </c>
      <c r="L22" s="80"/>
    </row>
    <row r="23" spans="1:12" x14ac:dyDescent="0.25">
      <c r="A23" s="14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15"/>
    </row>
    <row r="24" spans="1:12" x14ac:dyDescent="0.25">
      <c r="A24" s="55" t="s">
        <v>266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62"/>
    </row>
    <row r="25" spans="1:12" x14ac:dyDescent="0.25">
      <c r="A25" s="14" t="s">
        <v>267</v>
      </c>
      <c r="B25" s="61" t="s">
        <v>260</v>
      </c>
      <c r="C25" s="57"/>
      <c r="D25" s="57"/>
      <c r="E25" s="57"/>
      <c r="F25" s="57"/>
      <c r="G25" s="57"/>
      <c r="H25" s="57"/>
      <c r="I25" s="57"/>
      <c r="J25" s="57"/>
      <c r="K25" s="57"/>
      <c r="L25" s="15"/>
    </row>
    <row r="26" spans="1:12" x14ac:dyDescent="0.25">
      <c r="A26" s="14" t="s">
        <v>268</v>
      </c>
      <c r="B26" s="61" t="s">
        <v>265</v>
      </c>
      <c r="C26" s="57"/>
      <c r="D26" s="57"/>
      <c r="E26" s="57"/>
      <c r="F26" s="57"/>
      <c r="G26" s="57"/>
      <c r="H26" s="57"/>
      <c r="I26" s="57"/>
      <c r="J26" s="57"/>
      <c r="K26" s="57"/>
      <c r="L26" s="15"/>
    </row>
    <row r="27" spans="1:12" x14ac:dyDescent="0.25">
      <c r="A27" s="14" t="s">
        <v>269</v>
      </c>
      <c r="B27" s="58"/>
      <c r="C27" s="57"/>
      <c r="D27" s="57"/>
      <c r="E27" s="57"/>
      <c r="F27" s="57"/>
      <c r="G27" s="57"/>
      <c r="H27" s="57"/>
      <c r="I27" s="57"/>
      <c r="J27" s="57"/>
      <c r="K27" s="57"/>
      <c r="L27" s="15"/>
    </row>
    <row r="28" spans="1:12" x14ac:dyDescent="0.25">
      <c r="A28" s="14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15"/>
    </row>
    <row r="29" spans="1:12" x14ac:dyDescent="0.25">
      <c r="A29" s="14" t="s">
        <v>270</v>
      </c>
      <c r="B29" s="58"/>
      <c r="C29" s="57"/>
      <c r="D29" s="57"/>
      <c r="E29" s="57"/>
      <c r="F29" s="57"/>
      <c r="G29" s="57"/>
      <c r="H29" s="57"/>
      <c r="I29" s="57"/>
      <c r="J29" s="57"/>
      <c r="K29" s="57"/>
      <c r="L29" s="15"/>
    </row>
    <row r="30" spans="1:12" ht="30" x14ac:dyDescent="0.25">
      <c r="A30" s="45" t="s">
        <v>271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15"/>
    </row>
    <row r="31" spans="1:12" x14ac:dyDescent="0.25">
      <c r="A31" s="14" t="s">
        <v>227</v>
      </c>
      <c r="B31" s="58"/>
      <c r="C31" s="57"/>
      <c r="D31" s="57"/>
      <c r="E31" s="57"/>
      <c r="F31" s="57"/>
      <c r="G31" s="57"/>
      <c r="H31" s="57"/>
      <c r="I31" s="57"/>
      <c r="J31" s="57"/>
      <c r="K31" s="57"/>
      <c r="L31" s="15"/>
    </row>
    <row r="32" spans="1:12" x14ac:dyDescent="0.25">
      <c r="A32" s="14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15"/>
    </row>
    <row r="33" spans="1:12" x14ac:dyDescent="0.25">
      <c r="A33" s="55" t="s">
        <v>272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62"/>
    </row>
    <row r="34" spans="1:12" x14ac:dyDescent="0.25">
      <c r="A34" s="14" t="s">
        <v>273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15"/>
    </row>
    <row r="35" spans="1:12" x14ac:dyDescent="0.25">
      <c r="A35" s="14" t="s">
        <v>274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15"/>
    </row>
    <row r="36" spans="1:12" x14ac:dyDescent="0.25">
      <c r="A36" s="14" t="s">
        <v>275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15"/>
    </row>
    <row r="37" spans="1:12" x14ac:dyDescent="0.25">
      <c r="A37" s="46" t="s">
        <v>276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47"/>
    </row>
  </sheetData>
  <mergeCells count="2">
    <mergeCell ref="A1:L1"/>
    <mergeCell ref="A22:F22"/>
  </mergeCells>
  <dataValidations count="2">
    <dataValidation type="list" allowBlank="1" showInputMessage="1" showErrorMessage="1" sqref="B25">
      <formula1>"EV/Revenue, EV/EBITDA,  EV/EBIT, P/E , P/B"</formula1>
    </dataValidation>
    <dataValidation type="list" allowBlank="1" showInputMessage="1" showErrorMessage="1" sqref="B26">
      <formula1>"Median, Mean, Custom"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Historical_PL</vt:lpstr>
      <vt:lpstr>Historical_BS</vt:lpstr>
      <vt:lpstr>Projections</vt:lpstr>
      <vt:lpstr>WACC_Inputs</vt:lpstr>
      <vt:lpstr>Other_Inputs</vt:lpstr>
      <vt:lpstr>Comparables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2026-05-01T09:50:54Z</dcterms:modified>
</cp:coreProperties>
</file>